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https://d.docs.live.net/7F5ABFC48CDE00D3/Documents/"/>
    </mc:Choice>
  </mc:AlternateContent>
  <xr:revisionPtr revIDLastSave="991" documentId="8_{64441FAA-5145-4F59-994F-7EF9600B46E1}" xr6:coauthVersionLast="47" xr6:coauthVersionMax="47" xr10:uidLastSave="{FFC3840E-609B-4007-B782-82365DB0A9CE}"/>
  <bookViews>
    <workbookView xWindow="-108" yWindow="-108" windowWidth="23256" windowHeight="12456" activeTab="1" xr2:uid="{00000000-000D-0000-FFFF-FFFF00000000}"/>
  </bookViews>
  <sheets>
    <sheet name="dataset" sheetId="1" r:id="rId1"/>
    <sheet name="dashboard" sheetId="4" r:id="rId2"/>
    <sheet name="pivot table" sheetId="2" r:id="rId3"/>
  </sheets>
  <definedNames>
    <definedName name="Slicer_Currency">#N/A</definedName>
    <definedName name="Slicer_Status">#N/A</definedName>
    <definedName name="Slicer_Vendo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alcChain>
</file>

<file path=xl/sharedStrings.xml><?xml version="1.0" encoding="utf-8"?>
<sst xmlns="http://schemas.openxmlformats.org/spreadsheetml/2006/main" count="4627" uniqueCount="837">
  <si>
    <t>APID</t>
  </si>
  <si>
    <t>Vendor</t>
  </si>
  <si>
    <t>InvoiceDate</t>
  </si>
  <si>
    <t>DueDate</t>
  </si>
  <si>
    <t>Amount</t>
  </si>
  <si>
    <t>Currency</t>
  </si>
  <si>
    <t>Status</t>
  </si>
  <si>
    <t>PaidDate</t>
  </si>
  <si>
    <t>Terms</t>
  </si>
  <si>
    <t>AP10000</t>
  </si>
  <si>
    <t>AP10001</t>
  </si>
  <si>
    <t>AP10002</t>
  </si>
  <si>
    <t>AP10003</t>
  </si>
  <si>
    <t>AP10004</t>
  </si>
  <si>
    <t>AP10005</t>
  </si>
  <si>
    <t>AP10006</t>
  </si>
  <si>
    <t>AP10007</t>
  </si>
  <si>
    <t>AP10008</t>
  </si>
  <si>
    <t>AP10009</t>
  </si>
  <si>
    <t>AP10010</t>
  </si>
  <si>
    <t>AP10011</t>
  </si>
  <si>
    <t>AP10012</t>
  </si>
  <si>
    <t>AP10013</t>
  </si>
  <si>
    <t>AP10014</t>
  </si>
  <si>
    <t>AP10015</t>
  </si>
  <si>
    <t>AP10016</t>
  </si>
  <si>
    <t>AP10017</t>
  </si>
  <si>
    <t>AP10018</t>
  </si>
  <si>
    <t>AP10019</t>
  </si>
  <si>
    <t>AP10020</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</si>
  <si>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</si>
  <si>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</si>
  <si>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</si>
  <si>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</si>
  <si>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</si>
  <si>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</si>
  <si>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</si>
  <si>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</si>
  <si>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</si>
  <si>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</si>
  <si>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</si>
  <si>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</si>
  <si>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</si>
  <si>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</si>
  <si>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</si>
  <si>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</si>
  <si>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</si>
  <si>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</si>
  <si>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</si>
  <si>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</si>
  <si>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</si>
  <si>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</si>
  <si>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</si>
  <si>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</si>
  <si>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</si>
  <si>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</si>
  <si>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</si>
  <si>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</si>
  <si>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</si>
  <si>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</si>
  <si>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</si>
  <si>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</si>
  <si>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</si>
  <si>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</si>
  <si>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</si>
  <si>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</si>
  <si>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</si>
  <si>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</si>
  <si>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</si>
  <si>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</si>
  <si>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</si>
  <si>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</si>
  <si>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</si>
  <si>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</si>
  <si>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</si>
  <si>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</si>
  <si>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</si>
  <si>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</si>
  <si>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</si>
  <si>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</si>
  <si>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</si>
  <si>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</si>
  <si>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</si>
  <si>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</si>
  <si>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</si>
  <si>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</si>
  <si>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</si>
  <si>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</si>
  <si>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</si>
  <si>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</si>
  <si>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</si>
  <si>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</si>
  <si>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</si>
  <si>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</si>
  <si>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</si>
  <si>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</si>
  <si>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</si>
  <si>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</si>
  <si>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</si>
  <si>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</si>
  <si>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</si>
  <si>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</si>
  <si>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</si>
  <si>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</si>
  <si>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</si>
  <si>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</si>
  <si>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</si>
  <si>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</si>
  <si>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</si>
  <si>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</si>
  <si>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</si>
  <si>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</si>
  <si>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</si>
  <si>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</si>
  <si>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</si>
  <si>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</si>
  <si>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</si>
  <si>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</si>
  <si>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</si>
  <si>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</si>
  <si>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</si>
  <si>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</si>
  <si>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</si>
  <si>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</si>
  <si>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</si>
  <si>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</si>
  <si>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</si>
  <si>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</si>
  <si>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</si>
  <si>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</si>
  <si>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</si>
  <si>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</si>
  <si>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</si>
  <si>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</si>
  <si>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</si>
  <si>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</si>
  <si>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</si>
  <si>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</si>
  <si>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</si>
  <si>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</si>
  <si>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</si>
  <si>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</si>
  <si>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</si>
  <si>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</si>
  <si>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</si>
  <si>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</si>
  <si>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</si>
  <si>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</si>
  <si>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</si>
  <si>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</si>
  <si>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</si>
  <si>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</si>
  <si>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</si>
  <si>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</si>
  <si>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</si>
  <si>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</si>
  <si>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</si>
  <si>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</si>
  <si>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</si>
  <si>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</si>
  <si>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</si>
  <si>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</si>
  <si>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</si>
  <si>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</si>
  <si>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</si>
  <si>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</si>
  <si>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</si>
  <si>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</si>
  <si>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</si>
  <si>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</si>
  <si>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</si>
  <si>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</si>
  <si>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</si>
  <si>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</si>
  <si>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</si>
  <si>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</si>
  <si>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</si>
  <si>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</si>
  <si>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</si>
  <si>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</si>
  <si>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</si>
  <si>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</si>
  <si>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</si>
  <si>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</si>
  <si>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</si>
  <si>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</si>
  <si>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</si>
  <si>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</si>
  <si>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</si>
  <si>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</si>
  <si>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</si>
  <si>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</si>
  <si>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</si>
  <si>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</si>
  <si>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</si>
  <si>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</si>
  <si>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</si>
  <si>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</si>
  <si>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</si>
  <si>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</si>
  <si>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</si>
  <si>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</si>
  <si>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</si>
  <si>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</si>
  <si>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</si>
  <si>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</si>
  <si>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</si>
  <si>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</si>
  <si>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</si>
  <si>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</si>
  <si>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</si>
  <si>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</si>
  <si>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</si>
  <si>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</si>
  <si>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</si>
  <si>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</si>
  <si>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</si>
  <si>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</si>
  <si>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</si>
  <si>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</si>
  <si>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</si>
  <si>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</si>
  <si>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</si>
  <si>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</si>
  <si>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</si>
  <si>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</si>
  <si>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</si>
  <si>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</si>
  <si>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</si>
  <si>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</si>
  <si>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</si>
  <si>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</si>
  <si>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</si>
  <si>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</si>
  <si>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</si>
  <si>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</si>
  <si>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</si>
  <si>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</si>
  <si>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</si>
  <si>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</si>
  <si>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</si>
  <si>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</si>
  <si>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</si>
  <si>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</si>
  <si>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</si>
  <si>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</si>
  <si>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</si>
  <si>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</si>
  <si>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</si>
  <si>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</si>
  <si>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</si>
  <si>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</si>
  <si>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</si>
  <si>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</si>
  <si>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</si>
  <si>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</si>
  <si>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</si>
  <si>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</si>
  <si>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</si>
  <si>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</si>
  <si>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</si>
  <si>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</si>
  <si>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</si>
  <si>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</si>
  <si>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</si>
  <si>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</si>
  <si>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</si>
  <si>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</si>
  <si>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</si>
  <si>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</si>
  <si>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</si>
  <si>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</si>
  <si>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</si>
  <si>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</si>
  <si>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</si>
  <si>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</si>
  <si>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</si>
  <si>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</si>
  <si>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</si>
  <si>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</si>
  <si>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</si>
  <si>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</si>
  <si>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</si>
  <si>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</si>
  <si>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</si>
  <si>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</si>
  <si>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</si>
  <si>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</si>
  <si>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</si>
  <si>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</si>
  <si>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</si>
  <si>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</si>
  <si>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</si>
  <si>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</si>
  <si>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</si>
  <si>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</si>
  <si>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</si>
  <si>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</si>
  <si>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</si>
  <si>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</si>
  <si>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</si>
  <si>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</si>
  <si>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</si>
  <si>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</si>
  <si>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</si>
  <si>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</si>
  <si>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</si>
  <si>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</si>
  <si>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</si>
  <si>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</si>
  <si>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</si>
  <si>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</si>
  <si>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</si>
  <si>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</si>
  <si>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</si>
  <si>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</si>
  <si>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</si>
  <si>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</si>
  <si>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</si>
  <si>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</si>
  <si>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</si>
  <si>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</si>
  <si>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</si>
  <si>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</si>
  <si>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</si>
  <si>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</si>
  <si>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</si>
  <si>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</si>
  <si>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</si>
  <si>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</si>
  <si>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</si>
  <si>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</si>
  <si>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</si>
  <si>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</si>
  <si>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</si>
  <si>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</si>
  <si>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</si>
  <si>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</si>
  <si>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</si>
  <si>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</si>
  <si>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</si>
  <si>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</si>
  <si>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</si>
  <si>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</si>
  <si>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</si>
  <si>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</si>
  <si>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</si>
  <si>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</si>
  <si>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</si>
  <si>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</si>
  <si>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</si>
  <si>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</si>
  <si>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</si>
  <si>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</si>
  <si>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</si>
  <si>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</si>
  <si>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</si>
  <si>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</si>
  <si>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</si>
  <si>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</si>
  <si>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</si>
  <si>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</si>
  <si>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</si>
  <si>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</si>
  <si>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</si>
  <si>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</si>
  <si>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</si>
  <si>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</si>
  <si>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</si>
  <si>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</si>
  <si>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</si>
  <si>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</si>
  <si>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</si>
  <si>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</si>
  <si>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</si>
  <si>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</si>
  <si>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</si>
  <si>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</si>
  <si>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</si>
  <si>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</si>
  <si>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</si>
  <si>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</si>
  <si>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</si>
  <si>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</si>
  <si>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</si>
  <si>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</si>
  <si>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</si>
  <si>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</si>
  <si>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</si>
  <si>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</si>
  <si>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</si>
  <si>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</si>
  <si>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</si>
  <si>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</si>
  <si>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</si>
  <si>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</si>
  <si>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</si>
  <si>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</si>
  <si>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</si>
  <si>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</si>
  <si>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</si>
  <si>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</si>
  <si>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</si>
  <si>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</si>
  <si>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</si>
  <si>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</si>
  <si>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</si>
  <si>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</si>
  <si>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</si>
  <si>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</si>
  <si>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</si>
  <si>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</si>
  <si>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</si>
  <si>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</si>
  <si>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</si>
  <si>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</si>
  <si>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</si>
  <si>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</si>
  <si>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</si>
  <si>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</si>
  <si>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</si>
  <si>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</si>
  <si>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</si>
  <si>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</si>
  <si>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</si>
  <si>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</si>
  <si>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</si>
  <si>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</si>
  <si>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</si>
  <si>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</si>
  <si>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</si>
  <si>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</si>
  <si>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</si>
  <si>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</si>
  <si>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</si>
  <si>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</si>
  <si>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</si>
  <si>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</si>
  <si>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</si>
  <si>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</si>
  <si>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</si>
  <si>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</si>
  <si>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</si>
  <si>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</si>
  <si>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</si>
  <si>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</si>
  <si>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</si>
  <si>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</si>
  <si>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</si>
  <si>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</si>
  <si>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</si>
  <si>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</si>
  <si>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</si>
  <si>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</si>
  <si>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</si>
  <si>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</si>
  <si>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</si>
  <si>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</si>
  <si>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</si>
  <si>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</si>
  <si>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</si>
  <si>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</si>
  <si>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</si>
  <si>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</si>
  <si>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</si>
  <si>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</si>
  <si>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</si>
  <si>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</si>
  <si>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</si>
  <si>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</si>
  <si>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</si>
  <si>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</si>
  <si>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</si>
  <si>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</si>
  <si>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</si>
  <si>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</si>
  <si>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</si>
  <si>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</si>
  <si>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</si>
  <si>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</si>
  <si>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</si>
  <si>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</si>
  <si>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</si>
  <si>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</si>
  <si>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</si>
  <si>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</si>
  <si>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</si>
  <si>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</si>
  <si>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</si>
  <si>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</si>
  <si>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</si>
  <si>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</si>
  <si>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</si>
  <si>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</si>
  <si>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</si>
  <si>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</si>
  <si>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</si>
  <si>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</si>
  <si>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</si>
  <si>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</si>
  <si>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</si>
  <si>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</si>
  <si>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</si>
  <si>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</si>
  <si>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</si>
  <si>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</si>
  <si>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</si>
  <si>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</si>
  <si>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</si>
  <si>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</si>
  <si>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</si>
  <si>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</si>
  <si>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</si>
  <si>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</si>
  <si>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</si>
  <si>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</si>
  <si>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</si>
  <si>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</si>
  <si>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</si>
  <si>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</si>
  <si>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</si>
  <si>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</si>
  <si>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</si>
  <si>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</si>
  <si>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</si>
  <si>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</si>
  <si>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</si>
  <si>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</si>
  <si>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</si>
  <si>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</si>
  <si>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</si>
  <si>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</si>
  <si>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</si>
  <si>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</si>
  <si>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</si>
  <si>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</si>
  <si>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</si>
  <si>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</si>
  <si>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</si>
  <si>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</si>
  <si>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</si>
  <si>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</si>
  <si>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</si>
  <si>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</si>
  <si>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</si>
  <si>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</si>
  <si>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</si>
  <si>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</si>
  <si>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</si>
  <si>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</si>
  <si>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</si>
  <si>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</si>
  <si>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</si>
  <si>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</si>
  <si>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</si>
  <si>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</si>
  <si>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</si>
  <si>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</si>
  <si>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</si>
  <si>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</si>
  <si>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</si>
  <si>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</si>
  <si>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</si>
  <si>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</si>
  <si>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</si>
  <si>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</si>
  <si>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</si>
  <si>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</si>
  <si>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</si>
  <si>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</si>
  <si>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</si>
  <si>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</si>
  <si>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</si>
  <si>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</si>
  <si>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</si>
  <si>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</si>
  <si>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</si>
  <si>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</si>
  <si>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</si>
  <si>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</si>
  <si>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</si>
  <si>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</si>
  <si>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</si>
  <si>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</si>
  <si>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</si>
  <si>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</si>
  <si>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</si>
  <si>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</si>
  <si>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</si>
  <si>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</si>
  <si>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</si>
  <si>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</si>
  <si>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</si>
  <si>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</si>
  <si>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</si>
  <si>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</si>
  <si>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</si>
  <si>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</si>
  <si>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</si>
  <si>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</si>
  <si>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</si>
  <si>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</si>
  <si>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</si>
  <si>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</si>
  <si>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</si>
  <si>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</si>
  <si>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</si>
  <si>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</si>
  <si>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</si>
  <si>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</si>
  <si>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</si>
  <si>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</si>
  <si>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</si>
  <si>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</si>
  <si>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</si>
  <si>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</si>
  <si>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</si>
  <si>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</si>
  <si>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</si>
  <si>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</si>
  <si>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</si>
  <si>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</si>
  <si>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</si>
  <si>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</si>
  <si>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</si>
  <si>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</si>
  <si>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</si>
  <si>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</si>
  <si>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</si>
  <si>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</si>
  <si>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</si>
  <si>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</si>
  <si>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</si>
  <si>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</si>
  <si>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</si>
  <si>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</si>
  <si>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</si>
  <si>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</si>
  <si>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</si>
  <si>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</si>
  <si>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</si>
  <si>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</si>
  <si>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</si>
  <si>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</si>
  <si>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</si>
  <si>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</si>
  <si>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</si>
  <si>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</si>
  <si>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</si>
  <si>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</si>
  <si>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</si>
  <si>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</si>
  <si>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</si>
  <si>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</si>
  <si>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</si>
  <si>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</si>
  <si>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</si>
  <si>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</si>
  <si>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</si>
  <si>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</si>
  <si>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</si>
  <si>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</si>
  <si>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</si>
  <si>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</si>
  <si>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</si>
  <si>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</si>
  <si>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</si>
  <si>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</si>
  <si>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</si>
  <si>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</si>
  <si>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</si>
  <si>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</si>
  <si>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</si>
  <si>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</si>
  <si>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</si>
  <si>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</si>
  <si>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</si>
  <si>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</si>
  <si>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</si>
  <si>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</si>
  <si>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</si>
  <si>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</si>
  <si>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</si>
  <si>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</si>
  <si>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</si>
  <si>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</si>
  <si>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</si>
  <si>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</si>
  <si>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</si>
  <si>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</si>
  <si>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</si>
  <si>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</si>
  <si>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</si>
  <si>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</si>
  <si>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</si>
  <si>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</si>
  <si>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</si>
  <si>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</si>
  <si>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</si>
  <si>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</si>
  <si>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</si>
  <si>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</si>
  <si>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</si>
  <si>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</si>
  <si>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</si>
  <si>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</si>
  <si>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</si>
  <si>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</si>
  <si>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</si>
  <si>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</si>
  <si>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</si>
  <si>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</si>
  <si>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</si>
  <si>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</si>
  <si>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</si>
  <si>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</si>
  <si>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</si>
  <si>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</si>
  <si>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</si>
  <si>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</si>
  <si>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</si>
  <si>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</si>
  <si>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</si>
  <si>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</si>
  <si>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</si>
  <si>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</si>
  <si>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</si>
  <si>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</si>
  <si>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</si>
  <si>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</si>
  <si>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</si>
  <si>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</si>
  <si>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</si>
  <si>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</si>
  <si>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</si>
  <si>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</si>
  <si>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</si>
  <si>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</si>
  <si>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</si>
  <si>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</si>
  <si>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</si>
  <si>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</si>
  <si>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</si>
  <si>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</si>
  <si>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</si>
  <si>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</si>
  <si>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</si>
  <si>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</si>
  <si>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</si>
  <si>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</si>
  <si>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</si>
  <si>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</si>
  <si>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</si>
  <si>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</si>
  <si>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</si>
  <si>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</si>
  <si>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</si>
  <si>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</si>
  <si>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</si>
  <si>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</si>
  <si>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</si>
  <si>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</si>
  <si>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</si>
  <si>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</si>
  <si>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</si>
  <si>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</si>
  <si>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</si>
  <si>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</si>
  <si>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</si>
  <si>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</si>
  <si>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</si>
  <si>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</si>
  <si>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</si>
  <si>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</si>
  <si>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</si>
  <si>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</si>
  <si>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</si>
  <si>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</si>
  <si>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</si>
  <si>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</si>
  <si>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</si>
  <si>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</si>
  <si>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</si>
  <si>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</si>
  <si>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</si>
  <si>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</si>
  <si>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</si>
  <si>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</si>
  <si>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</si>
  <si>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</si>
  <si>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</si>
  <si>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</si>
  <si>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</si>
  <si>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</si>
  <si>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</si>
  <si>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</si>
  <si>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</si>
  <si>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</si>
  <si>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</si>
  <si>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</si>
  <si>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</si>
  <si>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</si>
  <si>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</si>
  <si>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</si>
  <si>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</si>
  <si>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</si>
  <si>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</si>
  <si>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</si>
  <si>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</si>
  <si>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BluePrints</t>
  </si>
  <si>
    <t>Fast Travel</t>
  </si>
  <si>
    <t>ABC Supplies</t>
  </si>
  <si>
    <t>Global Office</t>
  </si>
  <si>
    <t>TechMart</t>
  </si>
  <si>
    <t>EUR</t>
  </si>
  <si>
    <t>CAD</t>
  </si>
  <si>
    <t>GBP</t>
  </si>
  <si>
    <t>USD</t>
  </si>
  <si>
    <t>AUD</t>
  </si>
  <si>
    <t>Open</t>
  </si>
  <si>
    <t>Partial</t>
  </si>
  <si>
    <t>Paid</t>
  </si>
  <si>
    <t>Net 30</t>
  </si>
  <si>
    <t>NA</t>
  </si>
  <si>
    <t>Row Labels</t>
  </si>
  <si>
    <t>Grand Total</t>
  </si>
  <si>
    <t>Sum of Amount</t>
  </si>
  <si>
    <t>Count of Amount</t>
  </si>
  <si>
    <t>Column Labels</t>
  </si>
  <si>
    <t>Count of Status</t>
  </si>
  <si>
    <t>Count of APID</t>
  </si>
  <si>
    <t xml:space="preserve">OVER DUE </t>
  </si>
  <si>
    <t>overdue status</t>
  </si>
  <si>
    <t>OK</t>
  </si>
  <si>
    <t>Overdue</t>
  </si>
  <si>
    <t>(blank)</t>
  </si>
  <si>
    <t>CORPORATE REVENUE &amp; VENDOR COMPLIANCE AUDIT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</si>
</sst>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4" x14ac:knownFonts="1">
    <font>
      <sz val="11"/>
      <color theme="1"/>
      <name val="Calibri"/>
      <family val="2"/>
      <scheme val="minor"/>
    </font>
    <font>
      <b/>
      <sz val="11"/>
      <color theme="1"/>
      <name val="Calibri"/>
      <family val="2"/>
      <scheme val="minor"/>
    </font>
    <font>
      <sz val="24"/>
      <color theme="1"/>
      <name val="Calibri"/>
      <family val="2"/>
      <scheme val="minor"/>
    </font>
    <font>
      <b/>
      <sz val="24"/>
      <color theme="1"/>
      <name val="Arial Black"/>
      <family val="2"/>
    </font>
  </fonts>
  <fills count="7">
    <fill>
      <patternFill patternType="none"/>
    </fill>
    <fill>
      <patternFill patternType="gray125"/>
    </fill>
    <fill>
      <patternFill patternType="solid">
        <fgColor rgb="FFFFFF00"/>
        <bgColor indexed="64"/>
      </patternFill>
    </fill>
    <fill>
      <patternFill patternType="solid">
        <fgColor rgb="FFAAE57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6C3FF"/>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 fontId="1" fillId="2" borderId="1" xfId="0" applyNumberFormat="1" applyFont="1" applyFill="1" applyBorder="1" applyAlignment="1">
      <alignment horizontal="center" vertical="top"/>
    </xf>
    <xf numFmtId="1" fontId="0" fillId="0" borderId="0" xfId="0" applyNumberFormat="1"/>
    <xf numFmtId="165" fontId="0" fillId="0" borderId="0" xfId="0" applyNumberFormat="1"/>
    <xf numFmtId="3" fontId="0" fillId="0" borderId="0" xfId="0" applyNumberFormat="1"/>
    <xf numFmtId="1" fontId="0" fillId="3" borderId="1" xfId="0" applyNumberFormat="1" applyFill="1" applyBorder="1"/>
    <xf numFmtId="0" fontId="0" fillId="4" borderId="1" xfId="0" applyFill="1" applyBorder="1"/>
    <xf numFmtId="164" fontId="0" fillId="5" borderId="1" xfId="0" applyNumberFormat="1" applyFill="1" applyBorder="1"/>
    <xf numFmtId="0" fontId="0" fillId="6" borderId="1" xfId="0" applyFill="1" applyBorder="1"/>
    <xf numFmtId="1" fontId="0" fillId="6" borderId="1" xfId="0" applyNumberFormat="1" applyFill="1" applyBorder="1"/>
    <xf numFmtId="164" fontId="0" fillId="6" borderId="1" xfId="0" applyNumberFormat="1" applyFill="1"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5">
    <dxf>
      <font>
        <color rgb="FF9C0006"/>
      </font>
      <fill>
        <patternFill>
          <bgColor rgb="FFFFC7CE"/>
        </patternFill>
      </fill>
    </dxf>
    <dxf>
      <font>
        <color rgb="FF006100"/>
      </font>
      <fill>
        <patternFill>
          <bgColor rgb="FFC6EFCE"/>
        </patternFill>
      </fill>
    </dxf>
    <dxf>
      <numFmt numFmtId="165" formatCode="&quot;₹&quot;\ #,##0"/>
    </dxf>
    <dxf>
      <numFmt numFmtId="3" formatCode="#,##0"/>
    </dxf>
    <dxf>
      <numFmt numFmtId="165"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 dashboard.xlsx]pivot table!TOTAL COUNT</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count of invoices by status</a:t>
            </a:r>
          </a:p>
        </c:rich>
      </c:tx>
      <c:layout>
        <c:manualLayout>
          <c:xMode val="edge"/>
          <c:yMode val="edge"/>
          <c:x val="0.15989463893388073"/>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dLbl>
          <c:idx val="0"/>
          <c:tx>
            <c:rich>
              <a:bodyPr/>
              <a:lstStyle/>
              <a:p>
                <a:fld id="{631A8DB1-DA51-4698-99EB-3C43A9D0B445}" type="CATEGORYNAME">
                  <a:rPr lang="en-US" sz="1050" b="1"/>
                  <a:pPr/>
                  <a:t>[CATEGORY NAME]</a:t>
                </a:fld>
                <a:r>
                  <a:rPr lang="en-US" baseline="0"/>
                  <a:t>, </a:t>
                </a:r>
                <a:fld id="{17DD243B-40CC-46B7-8FD7-A7D4458E44C8}" type="VALUE">
                  <a:rPr lang="en-US" sz="1050" b="1" baseline="0"/>
                  <a:pPr/>
                  <a:t>[VALUE]</a:t>
                </a:fld>
                <a:r>
                  <a:rPr lang="en-US" sz="1050" b="1" baseline="0"/>
                  <a:t>, </a:t>
                </a:r>
                <a:fld id="{7FB11856-0068-49C3-99A6-E1A910D727A8}"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5C9C71C-B084-4A6F-AD2D-F17B9CEE6162}" type="CATEGORYNAME">
                  <a:rPr lang="en-US" sz="1050" b="1"/>
                  <a:pPr/>
                  <a:t>[CATEGORY NAME]</a:t>
                </a:fld>
                <a:r>
                  <a:rPr lang="en-US" sz="1050" b="1" baseline="0"/>
                  <a:t>, </a:t>
                </a:r>
                <a:fld id="{DE245E85-9FE9-4605-A6D5-5DE8044097B8}" type="VALUE">
                  <a:rPr lang="en-US" sz="1050" b="1" baseline="0"/>
                  <a:pPr/>
                  <a:t>[VALUE]</a:t>
                </a:fld>
                <a:r>
                  <a:rPr lang="en-US" sz="1050" b="1" baseline="0"/>
                  <a:t>, </a:t>
                </a:r>
                <a:fld id="{6753F248-E8D7-453C-ABE2-278516A33565}"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3C683069-D4D6-4DCB-AAAF-C457D8168371}" type="CATEGORYNAME">
                  <a:rPr lang="en-US" sz="1050" b="1"/>
                  <a:pPr/>
                  <a:t>[CATEGORY NAME]</a:t>
                </a:fld>
                <a:r>
                  <a:rPr lang="en-US" sz="1050" b="1" baseline="0"/>
                  <a:t>, </a:t>
                </a:r>
                <a:fld id="{37DA072E-AFCC-4590-A154-EB83E796BA48}" type="VALUE">
                  <a:rPr lang="en-US" sz="1050" b="1" baseline="0"/>
                  <a:pPr/>
                  <a:t>[VALUE]</a:t>
                </a:fld>
                <a:r>
                  <a:rPr lang="en-US" sz="1050" b="1" baseline="0"/>
                  <a:t>, </a:t>
                </a:r>
                <a:fld id="{20195097-5148-4599-A681-8208D3E2EE4B}"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5"/>
        <c:dLbl>
          <c:idx val="0"/>
          <c:tx>
            <c:rich>
              <a:bodyPr/>
              <a:lstStyle/>
              <a:p>
                <a:fld id="{95C9C71C-B084-4A6F-AD2D-F17B9CEE6162}" type="CATEGORYNAME">
                  <a:rPr lang="en-US" sz="1050" b="1"/>
                  <a:pPr/>
                  <a:t>[CATEGORY NAME]</a:t>
                </a:fld>
                <a:r>
                  <a:rPr lang="en-US" sz="1050" b="1" baseline="0"/>
                  <a:t>, </a:t>
                </a:r>
                <a:fld id="{DE245E85-9FE9-4605-A6D5-5DE8044097B8}" type="VALUE">
                  <a:rPr lang="en-US" sz="1050" b="1" baseline="0"/>
                  <a:pPr/>
                  <a:t>[VALUE]</a:t>
                </a:fld>
                <a:r>
                  <a:rPr lang="en-US" sz="1050" b="1" baseline="0"/>
                  <a:t>, </a:t>
                </a:r>
                <a:fld id="{6753F248-E8D7-453C-ABE2-278516A33565}"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tx>
            <c:rich>
              <a:bodyPr/>
              <a:lstStyle/>
              <a:p>
                <a:fld id="{3C683069-D4D6-4DCB-AAAF-C457D8168371}" type="CATEGORYNAME">
                  <a:rPr lang="en-US" sz="1050" b="1"/>
                  <a:pPr/>
                  <a:t>[CATEGORY NAME]</a:t>
                </a:fld>
                <a:r>
                  <a:rPr lang="en-US" sz="1050" b="1" baseline="0"/>
                  <a:t>, </a:t>
                </a:r>
                <a:fld id="{37DA072E-AFCC-4590-A154-EB83E796BA48}" type="VALUE">
                  <a:rPr lang="en-US" sz="1050" b="1" baseline="0"/>
                  <a:pPr/>
                  <a:t>[VALUE]</a:t>
                </a:fld>
                <a:r>
                  <a:rPr lang="en-US" sz="1050" b="1" baseline="0"/>
                  <a:t>, </a:t>
                </a:r>
                <a:fld id="{20195097-5148-4599-A681-8208D3E2EE4B}"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631A8DB1-DA51-4698-99EB-3C43A9D0B445}" type="CATEGORYNAME">
                  <a:rPr lang="en-US" sz="1050" b="1"/>
                  <a:pPr/>
                  <a:t>[CATEGORY NAME]</a:t>
                </a:fld>
                <a:r>
                  <a:rPr lang="en-US" baseline="0"/>
                  <a:t>, </a:t>
                </a:r>
                <a:fld id="{17DD243B-40CC-46B7-8FD7-A7D4458E44C8}" type="VALUE">
                  <a:rPr lang="en-US" sz="1050" b="1" baseline="0"/>
                  <a:pPr/>
                  <a:t>[VALUE]</a:t>
                </a:fld>
                <a:r>
                  <a:rPr lang="en-US" sz="1050" b="1" baseline="0"/>
                  <a:t>, </a:t>
                </a:r>
                <a:fld id="{7FB11856-0068-49C3-99A6-E1A910D727A8}" type="PERCENTAGE">
                  <a:rPr lang="en-US" sz="1050" b="1" baseline="0"/>
                  <a:pPr/>
                  <a:t>[PERCENTAGE]</a:t>
                </a:fld>
                <a:endParaRPr lang="en-US" sz="1050" b="1"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95C9C71C-B084-4A6F-AD2D-F17B9CEE6162}" type="CATEGORYNAME">
                  <a:rPr lang="en-US"/>
                  <a:pPr>
                    <a:defRPr/>
                  </a:pPr>
                  <a:t>[CATEGORY NAME]</a:t>
                </a:fld>
                <a:r>
                  <a:rPr lang="en-US"/>
                  <a:t>, </a:t>
                </a:r>
                <a:fld id="{DE245E85-9FE9-4605-A6D5-5DE8044097B8}" type="VALUE">
                  <a:rPr lang="en-US"/>
                  <a:pPr>
                    <a:defRPr/>
                  </a:pPr>
                  <a:t>[VALUE]</a:t>
                </a:fld>
                <a:r>
                  <a:rPr lang="en-US"/>
                  <a:t>, </a:t>
                </a:r>
                <a:fld id="{6753F248-E8D7-453C-ABE2-278516A33565}"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3C683069-D4D6-4DCB-AAAF-C457D8168371}" type="CATEGORYNAME">
                  <a:rPr lang="en-US"/>
                  <a:pPr>
                    <a:defRPr/>
                  </a:pPr>
                  <a:t>[CATEGORY NAME]</a:t>
                </a:fld>
                <a:r>
                  <a:rPr lang="en-US"/>
                  <a:t>, </a:t>
                </a:r>
                <a:fld id="{37DA072E-AFCC-4590-A154-EB83E796BA48}" type="VALUE">
                  <a:rPr lang="en-US"/>
                  <a:pPr>
                    <a:defRPr/>
                  </a:pPr>
                  <a:t>[VALUE]</a:t>
                </a:fld>
                <a:r>
                  <a:rPr lang="en-US"/>
                  <a:t>, </a:t>
                </a:r>
                <a:fld id="{20195097-5148-4599-A681-8208D3E2EE4B}"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31A8DB1-DA51-4698-99EB-3C43A9D0B445}" type="CATEGORYNAME">
                  <a:rPr lang="en-US"/>
                  <a:pPr>
                    <a:defRPr/>
                  </a:pPr>
                  <a:t>[CATEGORY NAME]</a:t>
                </a:fld>
                <a:r>
                  <a:rPr lang="en-US"/>
                  <a:t>, </a:t>
                </a:r>
                <a:fld id="{17DD243B-40CC-46B7-8FD7-A7D4458E44C8}" type="VALUE">
                  <a:rPr lang="en-US"/>
                  <a:pPr>
                    <a:defRPr/>
                  </a:pPr>
                  <a:t>[VALUE]</a:t>
                </a:fld>
                <a:r>
                  <a:rPr lang="en-US"/>
                  <a:t>, </a:t>
                </a:r>
                <a:fld id="{7FB11856-0068-49C3-99A6-E1A910D727A8}"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21E-4A23-B661-290A9D3DBB1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21E-4A23-B661-290A9D3DBB1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21E-4A23-B661-290A9D3DBB1A}"/>
              </c:ext>
            </c:extLst>
          </c:dPt>
          <c:dLbls>
            <c:dLbl>
              <c:idx val="0"/>
              <c:tx>
                <c:rich>
                  <a:bodyPr/>
                  <a:lstStyle/>
                  <a:p>
                    <a:fld id="{95C9C71C-B084-4A6F-AD2D-F17B9CEE6162}" type="CATEGORYNAME">
                      <a:rPr lang="en-US"/>
                      <a:pPr/>
                      <a:t>[CATEGORY NAME]</a:t>
                    </a:fld>
                    <a:r>
                      <a:rPr lang="en-US"/>
                      <a:t>, </a:t>
                    </a:r>
                    <a:fld id="{DE245E85-9FE9-4605-A6D5-5DE8044097B8}" type="VALUE">
                      <a:rPr lang="en-US"/>
                      <a:pPr/>
                      <a:t>[VALUE]</a:t>
                    </a:fld>
                    <a:r>
                      <a:rPr lang="en-US"/>
                      <a:t>, </a:t>
                    </a:r>
                    <a:fld id="{6753F248-E8D7-453C-ABE2-278516A33565}" type="PERCENTAGE">
                      <a:rPr lang="en-US"/>
                      <a:pPr/>
                      <a:t>[PERCENTAGE]</a:t>
                    </a:fld>
                    <a:endParaRPr lang="en-US"/>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21E-4A23-B661-290A9D3DBB1A}"/>
                </c:ext>
              </c:extLst>
            </c:dLbl>
            <c:dLbl>
              <c:idx val="1"/>
              <c:tx>
                <c:rich>
                  <a:bodyPr/>
                  <a:lstStyle/>
                  <a:p>
                    <a:fld id="{3C683069-D4D6-4DCB-AAAF-C457D8168371}" type="CATEGORYNAME">
                      <a:rPr lang="en-US"/>
                      <a:pPr/>
                      <a:t>[CATEGORY NAME]</a:t>
                    </a:fld>
                    <a:r>
                      <a:rPr lang="en-US"/>
                      <a:t>, </a:t>
                    </a:r>
                    <a:fld id="{37DA072E-AFCC-4590-A154-EB83E796BA48}" type="VALUE">
                      <a:rPr lang="en-US"/>
                      <a:pPr/>
                      <a:t>[VALUE]</a:t>
                    </a:fld>
                    <a:r>
                      <a:rPr lang="en-US"/>
                      <a:t>, </a:t>
                    </a:r>
                    <a:fld id="{20195097-5148-4599-A681-8208D3E2EE4B}" type="PERCENTAGE">
                      <a:rPr lang="en-US"/>
                      <a:pPr/>
                      <a:t>[PERCENTAGE]</a:t>
                    </a:fld>
                    <a:endParaRPr lang="en-US"/>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21E-4A23-B661-290A9D3DBB1A}"/>
                </c:ext>
              </c:extLst>
            </c:dLbl>
            <c:dLbl>
              <c:idx val="2"/>
              <c:tx>
                <c:rich>
                  <a:bodyPr/>
                  <a:lstStyle/>
                  <a:p>
                    <a:fld id="{631A8DB1-DA51-4698-99EB-3C43A9D0B445}" type="CATEGORYNAME">
                      <a:rPr lang="en-US"/>
                      <a:pPr/>
                      <a:t>[CATEGORY NAME]</a:t>
                    </a:fld>
                    <a:r>
                      <a:rPr lang="en-US"/>
                      <a:t>, </a:t>
                    </a:r>
                    <a:fld id="{17DD243B-40CC-46B7-8FD7-A7D4458E44C8}" type="VALUE">
                      <a:rPr lang="en-US"/>
                      <a:pPr/>
                      <a:t>[VALUE]</a:t>
                    </a:fld>
                    <a:r>
                      <a:rPr lang="en-US"/>
                      <a:t>, </a:t>
                    </a:r>
                    <a:fld id="{7FB11856-0068-49C3-99A6-E1A910D727A8}" type="PERCENTAGE">
                      <a:rPr lang="en-US"/>
                      <a:pPr/>
                      <a:t>[PERCENTAGE]</a:t>
                    </a:fld>
                    <a:endParaRPr lang="en-US"/>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21E-4A23-B661-290A9D3DBB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table'!$A$2:$A$5</c:f>
              <c:strCache>
                <c:ptCount val="3"/>
                <c:pt idx="0">
                  <c:v>Open</c:v>
                </c:pt>
                <c:pt idx="1">
                  <c:v>Paid</c:v>
                </c:pt>
                <c:pt idx="2">
                  <c:v>Partial</c:v>
                </c:pt>
              </c:strCache>
            </c:strRef>
          </c:cat>
          <c:val>
            <c:numRef>
              <c:f>'pivot table'!$B$2:$B$5</c:f>
              <c:numCache>
                <c:formatCode>General</c:formatCode>
                <c:ptCount val="3"/>
                <c:pt idx="0">
                  <c:v>267</c:v>
                </c:pt>
                <c:pt idx="1">
                  <c:v>257</c:v>
                </c:pt>
                <c:pt idx="2">
                  <c:v>276</c:v>
                </c:pt>
              </c:numCache>
            </c:numRef>
          </c:val>
          <c:extLst>
            <c:ext xmlns:c16="http://schemas.microsoft.com/office/drawing/2014/chart" uri="{C3380CC4-5D6E-409C-BE32-E72D297353CC}">
              <c16:uniqueId val="{00000006-721E-4A23-B661-290A9D3DBB1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[Accounts-Payable dashboard.xlsx]pivot table!PivotTable11</c:name>
    <c:fmtId val="1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latin typeface="Aptos Display" panose="020B0004020202020204" pitchFamily="34" charset="0"/>
              </a:rPr>
              <a:t>Total amount due by status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D09E4BB-8923-486A-8CBD-B12F7073FE1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AFCAA63-2B0E-4AC2-95C9-6F0B93731AEB}"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table'!$K$10</c:f>
              <c:strCache>
                <c:ptCount val="1"/>
                <c:pt idx="0">
                  <c:v>Total</c:v>
                </c:pt>
              </c:strCache>
            </c:strRef>
          </c:tx>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0-067F-4429-B9B9-326C6B2A92D4}"/>
              </c:ext>
            </c:extLst>
          </c:dPt>
          <c:dPt>
            <c:idx val="2"/>
            <c:invertIfNegative val="0"/>
            <c:bubble3D val="0"/>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067F-4429-B9B9-326C6B2A92D4}"/>
              </c:ext>
            </c:extLst>
          </c:dPt>
          <c:dLbls>
            <c:dLbl>
              <c:idx val="0"/>
              <c:tx>
                <c:rich>
                  <a:bodyPr/>
                  <a:lstStyle/>
                  <a:p>
                    <a:fld id="{6D09E4BB-8923-486A-8CBD-B12F7073FE17}"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67F-4429-B9B9-326C6B2A92D4}"/>
                </c:ext>
              </c:extLst>
            </c:dLbl>
            <c:dLbl>
              <c:idx val="2"/>
              <c:tx>
                <c:rich>
                  <a:bodyPr/>
                  <a:lstStyle/>
                  <a:p>
                    <a:fld id="{AAFCAA63-2B0E-4AC2-95C9-6F0B93731AEB}"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67F-4429-B9B9-326C6B2A92D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table'!$J$11:$J$14</c:f>
              <c:strCache>
                <c:ptCount val="3"/>
                <c:pt idx="0">
                  <c:v>Open</c:v>
                </c:pt>
                <c:pt idx="1">
                  <c:v>Paid</c:v>
                </c:pt>
                <c:pt idx="2">
                  <c:v>Partial</c:v>
                </c:pt>
              </c:strCache>
            </c:strRef>
          </c:cat>
          <c:val>
            <c:numRef>
              <c:f>'pivot table'!$K$11:$K$14</c:f>
              <c:numCache>
                <c:formatCode>#,##0</c:formatCode>
                <c:ptCount val="3"/>
                <c:pt idx="0">
                  <c:v>668446.26999999979</c:v>
                </c:pt>
                <c:pt idx="1">
                  <c:v>668596.74000000057</c:v>
                </c:pt>
                <c:pt idx="2">
                  <c:v>750479.28000000038</c:v>
                </c:pt>
              </c:numCache>
            </c:numRef>
          </c:val>
          <c:extLst>
            <c:ext xmlns:c16="http://schemas.microsoft.com/office/drawing/2014/chart" uri="{C3380CC4-5D6E-409C-BE32-E72D297353CC}">
              <c16:uniqueId val="{00000000-1081-4DCA-AC7F-17951722EDD0}"/>
            </c:ext>
          </c:extLst>
        </c:ser>
        <c:dLbls>
          <c:dLblPos val="inEnd"/>
          <c:showLegendKey val="0"/>
          <c:showVal val="1"/>
          <c:showCatName val="0"/>
          <c:showSerName val="0"/>
          <c:showPercent val="0"/>
          <c:showBubbleSize val="0"/>
        </c:dLbls>
        <c:gapWidth val="41"/>
        <c:axId val="407279711"/>
        <c:axId val="407280671"/>
      </c:barChart>
      <c:catAx>
        <c:axId val="40727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7280671"/>
        <c:crosses val="autoZero"/>
        <c:auto val="1"/>
        <c:lblAlgn val="ctr"/>
        <c:lblOffset val="100"/>
        <c:noMultiLvlLbl val="0"/>
      </c:catAx>
      <c:valAx>
        <c:axId val="407280671"/>
        <c:scaling>
          <c:orientation val="minMax"/>
        </c:scaling>
        <c:delete val="1"/>
        <c:axPos val="l"/>
        <c:numFmt formatCode="#,##0" sourceLinked="1"/>
        <c:majorTickMark val="none"/>
        <c:minorTickMark val="none"/>
        <c:tickLblPos val="nextTo"/>
        <c:crossAx val="40727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 dashboard.xlsx]pivot table!overdue status</c:name>
    <c:fmtId val="8"/>
  </c:pivotSource>
  <c:chart>
    <c:title>
      <c:tx>
        <c:rich>
          <a:bodyPr rot="0" spcFirstLastPara="1" vertOverflow="ellipsis" vert="horz" wrap="square" anchor="ctr" anchorCtr="1"/>
          <a:lstStyle/>
          <a:p>
            <a:pPr algn="ctr" rtl="0">
              <a:defRPr lang="en-IN" sz="1800" b="1" i="0" u="none" strike="noStrike" kern="1200" spc="0" baseline="0">
                <a:solidFill>
                  <a:srgbClr val="FF0000"/>
                </a:solidFill>
                <a:latin typeface="Angsana New" panose="02020603050405020304" pitchFamily="18" charset="-34"/>
                <a:ea typeface="+mn-ea"/>
                <a:cs typeface="Angsana New" panose="02020603050405020304" pitchFamily="18" charset="-34"/>
              </a:defRPr>
            </a:pPr>
            <a:r>
              <a:rPr lang="en-IN" sz="2000" b="1" i="0" u="none" strike="noStrike" kern="1200" spc="0" baseline="0">
                <a:solidFill>
                  <a:srgbClr val="FF0000"/>
                </a:solidFill>
                <a:latin typeface="Angsana New" panose="02020603050405020304" pitchFamily="18" charset="-34"/>
                <a:ea typeface="+mn-ea"/>
                <a:cs typeface="Angsana New" panose="02020603050405020304" pitchFamily="18" charset="-34"/>
              </a:rPr>
              <a:t>Overdue status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FF0000"/>
              </a:solidFill>
              <a:latin typeface="Angsana New" panose="02020603050405020304" pitchFamily="18" charset="-34"/>
              <a:ea typeface="+mn-ea"/>
              <a:cs typeface="Angsana New" panose="02020603050405020304" pitchFamily="18" charset="-34"/>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table'!$H$18</c:f>
              <c:strCache>
                <c:ptCount val="1"/>
                <c:pt idx="0">
                  <c:v>Count of APID</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A2-4D67-8022-93CD7DA96AB2}"/>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A2-4D67-8022-93CD7DA96AB2}"/>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DA2-4D67-8022-93CD7DA96AB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table'!$G$19:$G$22</c:f>
              <c:strCache>
                <c:ptCount val="3"/>
                <c:pt idx="0">
                  <c:v>OK</c:v>
                </c:pt>
                <c:pt idx="1">
                  <c:v>Overdue</c:v>
                </c:pt>
                <c:pt idx="2">
                  <c:v>(blank)</c:v>
                </c:pt>
              </c:strCache>
            </c:strRef>
          </c:cat>
          <c:val>
            <c:numRef>
              <c:f>'pivot table'!$H$19:$H$22</c:f>
              <c:numCache>
                <c:formatCode>General</c:formatCode>
                <c:ptCount val="3"/>
                <c:pt idx="0">
                  <c:v>257</c:v>
                </c:pt>
                <c:pt idx="1">
                  <c:v>543</c:v>
                </c:pt>
              </c:numCache>
            </c:numRef>
          </c:val>
          <c:extLst>
            <c:ext xmlns:c16="http://schemas.microsoft.com/office/drawing/2014/chart" uri="{C3380CC4-5D6E-409C-BE32-E72D297353CC}">
              <c16:uniqueId val="{00000006-9DA2-4D67-8022-93CD7DA96AB2}"/>
            </c:ext>
          </c:extLst>
        </c:ser>
        <c:ser>
          <c:idx val="1"/>
          <c:order val="1"/>
          <c:tx>
            <c:strRef>
              <c:f>'pivot table'!$I$18</c:f>
              <c:strCache>
                <c:ptCount val="1"/>
                <c:pt idx="0">
                  <c:v>Sum of Amount</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9DA2-4D67-8022-93CD7DA96AB2}"/>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9DA2-4D67-8022-93CD7DA96AB2}"/>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9DA2-4D67-8022-93CD7DA96A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table'!$G$19:$G$22</c:f>
              <c:strCache>
                <c:ptCount val="3"/>
                <c:pt idx="0">
                  <c:v>OK</c:v>
                </c:pt>
                <c:pt idx="1">
                  <c:v>Overdue</c:v>
                </c:pt>
                <c:pt idx="2">
                  <c:v>(blank)</c:v>
                </c:pt>
              </c:strCache>
            </c:strRef>
          </c:cat>
          <c:val>
            <c:numRef>
              <c:f>'pivot table'!$I$19:$I$22</c:f>
              <c:numCache>
                <c:formatCode>0</c:formatCode>
                <c:ptCount val="3"/>
                <c:pt idx="0">
                  <c:v>668596.74000000057</c:v>
                </c:pt>
                <c:pt idx="1">
                  <c:v>1418925.5500000014</c:v>
                </c:pt>
                <c:pt idx="2">
                  <c:v>2087522.2899999993</c:v>
                </c:pt>
              </c:numCache>
            </c:numRef>
          </c:val>
          <c:extLst>
            <c:ext xmlns:c16="http://schemas.microsoft.com/office/drawing/2014/chart" uri="{C3380CC4-5D6E-409C-BE32-E72D297353CC}">
              <c16:uniqueId val="{0000000D-9DA2-4D67-8022-93CD7DA96AB2}"/>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 dashboard.xlsx]pivot table!MAX -MIN</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vendors</a:t>
            </a:r>
          </a:p>
        </c:rich>
      </c:tx>
      <c:layout>
        <c:manualLayout>
          <c:xMode val="edge"/>
          <c:yMode val="edge"/>
          <c:x val="0.36146700017553096"/>
          <c:y val="0.1035874277456647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C01185C-9E80-4751-8627-738668347DF9}"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bar"/>
        <c:grouping val="clustered"/>
        <c:varyColors val="0"/>
        <c:ser>
          <c:idx val="0"/>
          <c:order val="0"/>
          <c:tx>
            <c:strRef>
              <c:f>'pivot table'!$H$10</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334-4F4C-8D13-4C3BD27C73B4}"/>
              </c:ext>
            </c:extLst>
          </c:dPt>
          <c:dLbls>
            <c:dLbl>
              <c:idx val="0"/>
              <c:tx>
                <c:rich>
                  <a:bodyPr/>
                  <a:lstStyle/>
                  <a:p>
                    <a:fld id="{FC01185C-9E80-4751-8627-738668347DF9}"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334-4F4C-8D13-4C3BD27C73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table'!$G$11:$G$16</c:f>
              <c:strCache>
                <c:ptCount val="5"/>
                <c:pt idx="0">
                  <c:v>Fast Travel</c:v>
                </c:pt>
                <c:pt idx="1">
                  <c:v>TechMart</c:v>
                </c:pt>
                <c:pt idx="2">
                  <c:v>Global Office</c:v>
                </c:pt>
                <c:pt idx="3">
                  <c:v>ABC Supplies</c:v>
                </c:pt>
                <c:pt idx="4">
                  <c:v>BluePrints</c:v>
                </c:pt>
              </c:strCache>
            </c:strRef>
          </c:cat>
          <c:val>
            <c:numRef>
              <c:f>'pivot table'!$H$11:$H$16</c:f>
              <c:numCache>
                <c:formatCode>"₹"\ #,##0</c:formatCode>
                <c:ptCount val="5"/>
                <c:pt idx="0">
                  <c:v>387910.5199999999</c:v>
                </c:pt>
                <c:pt idx="1">
                  <c:v>392699.81000000017</c:v>
                </c:pt>
                <c:pt idx="2">
                  <c:v>401098.65000000014</c:v>
                </c:pt>
                <c:pt idx="3">
                  <c:v>420885.48999999993</c:v>
                </c:pt>
                <c:pt idx="4">
                  <c:v>484927.82000000012</c:v>
                </c:pt>
              </c:numCache>
            </c:numRef>
          </c:val>
          <c:extLst>
            <c:ext xmlns:c16="http://schemas.microsoft.com/office/drawing/2014/chart" uri="{C3380CC4-5D6E-409C-BE32-E72D297353CC}">
              <c16:uniqueId val="{00000000-2817-4AA4-98EF-169EA6FFE2CF}"/>
            </c:ext>
          </c:extLst>
        </c:ser>
        <c:dLbls>
          <c:dLblPos val="outEnd"/>
          <c:showLegendKey val="0"/>
          <c:showVal val="1"/>
          <c:showCatName val="0"/>
          <c:showSerName val="0"/>
          <c:showPercent val="0"/>
          <c:showBubbleSize val="0"/>
        </c:dLbls>
        <c:gapWidth val="100"/>
        <c:axId val="1526706064"/>
        <c:axId val="1526699824"/>
      </c:barChart>
      <c:catAx>
        <c:axId val="1526706064"/>
        <c:scaling>
          <c:orientation val="minMax"/>
        </c:scaling>
        <c:delete val="1"/>
        <c:axPos val="l"/>
        <c:numFmt formatCode="General" sourceLinked="1"/>
        <c:majorTickMark val="none"/>
        <c:minorTickMark val="none"/>
        <c:tickLblPos val="nextTo"/>
        <c:crossAx val="1526699824"/>
        <c:crosses val="autoZero"/>
        <c:auto val="1"/>
        <c:lblAlgn val="ctr"/>
        <c:lblOffset val="100"/>
        <c:noMultiLvlLbl val="0"/>
      </c:catAx>
      <c:valAx>
        <c:axId val="1526699824"/>
        <c:scaling>
          <c:orientation val="minMax"/>
        </c:scaling>
        <c:delete val="1"/>
        <c:axPos val="b"/>
        <c:numFmt formatCode="&quot;₹&quot;\ #,##0" sourceLinked="1"/>
        <c:majorTickMark val="none"/>
        <c:minorTickMark val="none"/>
        <c:tickLblPos val="nextTo"/>
        <c:crossAx val="15267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6</xdr:col>
      <xdr:colOff>594360</xdr:colOff>
      <xdr:row>2</xdr:row>
      <xdr:rowOff>0</xdr:rowOff>
    </xdr:from>
    <xdr:to>
      <xdr:col>11</xdr:col>
      <xdr:colOff>419100</xdr:colOff>
      <xdr:row>15</xdr:row>
      <xdr:rowOff>106680</xdr:rowOff>
    </xdr:to>
    <xdr:graphicFrame macro="">
      <xdr:nvGraphicFramePr>
        <xdr:cNvPr id="2" name="Chart 1">
          <a:extLst>
            <a:ext uri="{FF2B5EF4-FFF2-40B4-BE49-F238E27FC236}">
              <a16:creationId xmlns:a16="http://schemas.microsoft.com/office/drawing/2014/main" id="{40A89EFA-39A8-4855-BFD1-310F3D8ED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2</xdr:row>
      <xdr:rowOff>0</xdr:rowOff>
    </xdr:from>
    <xdr:to>
      <xdr:col>19</xdr:col>
      <xdr:colOff>297180</xdr:colOff>
      <xdr:row>15</xdr:row>
      <xdr:rowOff>114300</xdr:rowOff>
    </xdr:to>
    <xdr:graphicFrame macro="">
      <xdr:nvGraphicFramePr>
        <xdr:cNvPr id="3" name="Chart 2">
          <a:extLst>
            <a:ext uri="{FF2B5EF4-FFF2-40B4-BE49-F238E27FC236}">
              <a16:creationId xmlns:a16="http://schemas.microsoft.com/office/drawing/2014/main" id="{47848F9E-290E-4230-9799-66CE09CE4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594360</xdr:colOff>
      <xdr:row>15</xdr:row>
      <xdr:rowOff>167640</xdr:rowOff>
    </xdr:from>
    <xdr:to>
      <xdr:col>11</xdr:col>
      <xdr:colOff>426720</xdr:colOff>
      <xdr:row>29</xdr:row>
      <xdr:rowOff>99060</xdr:rowOff>
    </xdr:to>
    <xdr:graphicFrame macro="">
      <xdr:nvGraphicFramePr>
        <xdr:cNvPr id="4" name="Chart 3">
          <a:extLst>
            <a:ext uri="{FF2B5EF4-FFF2-40B4-BE49-F238E27FC236}">
              <a16:creationId xmlns:a16="http://schemas.microsoft.com/office/drawing/2014/main" id="{9C91ACF2-C7B5-42BD-9F2C-63F61DFF8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601980</xdr:colOff>
      <xdr:row>15</xdr:row>
      <xdr:rowOff>175260</xdr:rowOff>
    </xdr:from>
    <xdr:to>
      <xdr:col>19</xdr:col>
      <xdr:colOff>282780</xdr:colOff>
      <xdr:row>29</xdr:row>
      <xdr:rowOff>106140</xdr:rowOff>
    </xdr:to>
    <xdr:graphicFrame macro="">
      <xdr:nvGraphicFramePr>
        <xdr:cNvPr id="5" name="Chart 4">
          <a:extLst>
            <a:ext uri="{FF2B5EF4-FFF2-40B4-BE49-F238E27FC236}">
              <a16:creationId xmlns:a16="http://schemas.microsoft.com/office/drawing/2014/main" id="{CAF3CBF5-F315-462F-994E-2F96B228E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80209</xdr:rowOff>
    </xdr:from>
    <xdr:to>
      <xdr:col>3</xdr:col>
      <xdr:colOff>151200</xdr:colOff>
      <xdr:row>9</xdr:row>
      <xdr:rowOff>48820</xdr:rowOff>
    </xdr:to>
    <xdr:sp macro="" textlink="">
      <xdr:nvSpPr>
        <xdr:cNvPr id="8" name="Rectangle 7">
          <a:extLst>
            <a:ext uri="{FF2B5EF4-FFF2-40B4-BE49-F238E27FC236}">
              <a16:creationId xmlns:a16="http://schemas.microsoft.com/office/drawing/2014/main" id="{E4C4D299-83DB-C235-580A-5FE53669A82D}"/>
            </a:ext>
          </a:extLst>
        </xdr:cNvPr>
        <xdr:cNvSpPr/>
      </xdr:nvSpPr>
      <xdr:spPr>
        <a:xfrm>
          <a:off x="0" y="80209"/>
          <a:ext cx="1980000" cy="1260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288758</xdr:colOff>
      <xdr:row>2</xdr:row>
      <xdr:rowOff>104274</xdr:rowOff>
    </xdr:from>
    <xdr:to>
      <xdr:col>2</xdr:col>
      <xdr:colOff>481264</xdr:colOff>
      <xdr:row>4</xdr:row>
      <xdr:rowOff>40106</xdr:rowOff>
    </xdr:to>
    <xdr:sp macro="" textlink="">
      <xdr:nvSpPr>
        <xdr:cNvPr id="9" name="TextBox 8">
          <a:extLst>
            <a:ext uri="{FF2B5EF4-FFF2-40B4-BE49-F238E27FC236}">
              <a16:creationId xmlns:a16="http://schemas.microsoft.com/office/drawing/2014/main" id="{C4D70F65-2133-38D1-50A0-D8930D1A5CB0}"/>
            </a:ext>
          </a:extLst>
        </xdr:cNvPr>
        <xdr:cNvSpPr txBox="1"/>
      </xdr:nvSpPr>
      <xdr:spPr>
        <a:xfrm>
          <a:off x="288758" y="104274"/>
          <a:ext cx="1411706"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Total</a:t>
          </a:r>
          <a:r>
            <a:rPr lang="en-IN" sz="1100" b="1" baseline="0">
              <a:latin typeface="Arial Black" panose="020B0A04020102020204" pitchFamily="34" charset="0"/>
            </a:rPr>
            <a:t> Invoices</a:t>
          </a:r>
          <a:endParaRPr lang="en-IN" sz="1100" b="1">
            <a:latin typeface="Arial Black" panose="020B0A04020102020204" pitchFamily="34" charset="0"/>
          </a:endParaRPr>
        </a:p>
      </xdr:txBody>
    </xdr:sp>
    <xdr:clientData/>
  </xdr:twoCellAnchor>
  <xdr:twoCellAnchor>
    <xdr:from>
      <xdr:col>0</xdr:col>
      <xdr:colOff>120314</xdr:colOff>
      <xdr:row>4</xdr:row>
      <xdr:rowOff>88231</xdr:rowOff>
    </xdr:from>
    <xdr:to>
      <xdr:col>3</xdr:col>
      <xdr:colOff>48125</xdr:colOff>
      <xdr:row>6</xdr:row>
      <xdr:rowOff>120315</xdr:rowOff>
    </xdr:to>
    <xdr:sp macro="" textlink="">
      <xdr:nvSpPr>
        <xdr:cNvPr id="10" name="TextBox 9">
          <a:extLst>
            <a:ext uri="{FF2B5EF4-FFF2-40B4-BE49-F238E27FC236}">
              <a16:creationId xmlns:a16="http://schemas.microsoft.com/office/drawing/2014/main" id="{3AB0B371-7965-E9C1-DDB2-12A6C0E20B39}"/>
            </a:ext>
          </a:extLst>
        </xdr:cNvPr>
        <xdr:cNvSpPr txBox="1"/>
      </xdr:nvSpPr>
      <xdr:spPr>
        <a:xfrm>
          <a:off x="120314" y="457199"/>
          <a:ext cx="1756611" cy="401053"/>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tx1"/>
              </a:solidFill>
              <a:effectLst/>
              <a:latin typeface="+mn-lt"/>
              <a:ea typeface="+mn-ea"/>
              <a:cs typeface="+mn-cs"/>
            </a:rPr>
            <a:t>800</a:t>
          </a:r>
          <a:r>
            <a:rPr lang="en-IN" sz="2000" b="1">
              <a:solidFill>
                <a:schemeClr val="tx1"/>
              </a:solidFill>
              <a:effectLst/>
            </a:rPr>
            <a:t> </a:t>
          </a:r>
          <a:endParaRPr lang="en-IN" sz="2000" b="1">
            <a:solidFill>
              <a:schemeClr val="tx1"/>
            </a:solidFill>
          </a:endParaRPr>
        </a:p>
      </xdr:txBody>
    </xdr:sp>
    <xdr:clientData/>
  </xdr:twoCellAnchor>
  <xdr:twoCellAnchor>
    <xdr:from>
      <xdr:col>0</xdr:col>
      <xdr:colOff>0</xdr:colOff>
      <xdr:row>10</xdr:row>
      <xdr:rowOff>0</xdr:rowOff>
    </xdr:from>
    <xdr:to>
      <xdr:col>3</xdr:col>
      <xdr:colOff>151200</xdr:colOff>
      <xdr:row>16</xdr:row>
      <xdr:rowOff>153095</xdr:rowOff>
    </xdr:to>
    <xdr:sp macro="" textlink="">
      <xdr:nvSpPr>
        <xdr:cNvPr id="13" name="Rectangle 12">
          <a:extLst>
            <a:ext uri="{FF2B5EF4-FFF2-40B4-BE49-F238E27FC236}">
              <a16:creationId xmlns:a16="http://schemas.microsoft.com/office/drawing/2014/main" id="{231CEA96-8831-4066-87B5-BC79D13BC70D}"/>
            </a:ext>
          </a:extLst>
        </xdr:cNvPr>
        <xdr:cNvSpPr/>
      </xdr:nvSpPr>
      <xdr:spPr>
        <a:xfrm>
          <a:off x="0" y="1475874"/>
          <a:ext cx="1980000" cy="1260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18</xdr:row>
      <xdr:rowOff>0</xdr:rowOff>
    </xdr:from>
    <xdr:to>
      <xdr:col>3</xdr:col>
      <xdr:colOff>151200</xdr:colOff>
      <xdr:row>24</xdr:row>
      <xdr:rowOff>153094</xdr:rowOff>
    </xdr:to>
    <xdr:sp macro="" textlink="">
      <xdr:nvSpPr>
        <xdr:cNvPr id="14" name="Rectangle 13">
          <a:extLst>
            <a:ext uri="{FF2B5EF4-FFF2-40B4-BE49-F238E27FC236}">
              <a16:creationId xmlns:a16="http://schemas.microsoft.com/office/drawing/2014/main" id="{464B7932-298E-4C15-B339-E06000FAC5AB}"/>
            </a:ext>
          </a:extLst>
        </xdr:cNvPr>
        <xdr:cNvSpPr/>
      </xdr:nvSpPr>
      <xdr:spPr>
        <a:xfrm>
          <a:off x="0" y="2951747"/>
          <a:ext cx="1980000" cy="1260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280737</xdr:colOff>
      <xdr:row>2</xdr:row>
      <xdr:rowOff>56147</xdr:rowOff>
    </xdr:from>
    <xdr:to>
      <xdr:col>6</xdr:col>
      <xdr:colOff>431937</xdr:colOff>
      <xdr:row>9</xdr:row>
      <xdr:rowOff>24758</xdr:rowOff>
    </xdr:to>
    <xdr:sp macro="" textlink="">
      <xdr:nvSpPr>
        <xdr:cNvPr id="15" name="Rectangle 14">
          <a:extLst>
            <a:ext uri="{FF2B5EF4-FFF2-40B4-BE49-F238E27FC236}">
              <a16:creationId xmlns:a16="http://schemas.microsoft.com/office/drawing/2014/main" id="{3FAD6245-F8A0-45B9-BAD4-783955671EE3}"/>
            </a:ext>
          </a:extLst>
        </xdr:cNvPr>
        <xdr:cNvSpPr/>
      </xdr:nvSpPr>
      <xdr:spPr>
        <a:xfrm>
          <a:off x="2109537" y="56147"/>
          <a:ext cx="1980000" cy="1260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272716</xdr:colOff>
      <xdr:row>10</xdr:row>
      <xdr:rowOff>16041</xdr:rowOff>
    </xdr:from>
    <xdr:to>
      <xdr:col>6</xdr:col>
      <xdr:colOff>423916</xdr:colOff>
      <xdr:row>16</xdr:row>
      <xdr:rowOff>169136</xdr:rowOff>
    </xdr:to>
    <xdr:sp macro="" textlink="">
      <xdr:nvSpPr>
        <xdr:cNvPr id="16" name="Rectangle 15">
          <a:extLst>
            <a:ext uri="{FF2B5EF4-FFF2-40B4-BE49-F238E27FC236}">
              <a16:creationId xmlns:a16="http://schemas.microsoft.com/office/drawing/2014/main" id="{788F67F5-B304-4CCC-A712-4756E55CAB96}"/>
            </a:ext>
          </a:extLst>
        </xdr:cNvPr>
        <xdr:cNvSpPr/>
      </xdr:nvSpPr>
      <xdr:spPr>
        <a:xfrm>
          <a:off x="2101516" y="1491915"/>
          <a:ext cx="1980000" cy="1260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296779</xdr:colOff>
      <xdr:row>10</xdr:row>
      <xdr:rowOff>88231</xdr:rowOff>
    </xdr:from>
    <xdr:to>
      <xdr:col>2</xdr:col>
      <xdr:colOff>489285</xdr:colOff>
      <xdr:row>12</xdr:row>
      <xdr:rowOff>24063</xdr:rowOff>
    </xdr:to>
    <xdr:sp macro="" textlink="">
      <xdr:nvSpPr>
        <xdr:cNvPr id="17" name="TextBox 16">
          <a:extLst>
            <a:ext uri="{FF2B5EF4-FFF2-40B4-BE49-F238E27FC236}">
              <a16:creationId xmlns:a16="http://schemas.microsoft.com/office/drawing/2014/main" id="{449DADE6-7ADA-4F6F-B181-AE1FAA8AAC8D}"/>
            </a:ext>
          </a:extLst>
        </xdr:cNvPr>
        <xdr:cNvSpPr txBox="1"/>
      </xdr:nvSpPr>
      <xdr:spPr>
        <a:xfrm>
          <a:off x="296779" y="1564105"/>
          <a:ext cx="1411706"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Total</a:t>
          </a:r>
          <a:r>
            <a:rPr lang="en-IN" sz="1100" b="1" baseline="0">
              <a:latin typeface="Arial Black" panose="020B0A04020102020204" pitchFamily="34" charset="0"/>
            </a:rPr>
            <a:t> Liability</a:t>
          </a:r>
          <a:endParaRPr lang="en-IN" sz="1100" b="1">
            <a:latin typeface="Arial Black" panose="020B0A04020102020204" pitchFamily="34" charset="0"/>
          </a:endParaRPr>
        </a:p>
      </xdr:txBody>
    </xdr:sp>
    <xdr:clientData/>
  </xdr:twoCellAnchor>
  <xdr:twoCellAnchor>
    <xdr:from>
      <xdr:col>0</xdr:col>
      <xdr:colOff>176463</xdr:colOff>
      <xdr:row>18</xdr:row>
      <xdr:rowOff>112295</xdr:rowOff>
    </xdr:from>
    <xdr:to>
      <xdr:col>2</xdr:col>
      <xdr:colOff>561473</xdr:colOff>
      <xdr:row>20</xdr:row>
      <xdr:rowOff>48126</xdr:rowOff>
    </xdr:to>
    <xdr:sp macro="" textlink="">
      <xdr:nvSpPr>
        <xdr:cNvPr id="18" name="TextBox 17">
          <a:extLst>
            <a:ext uri="{FF2B5EF4-FFF2-40B4-BE49-F238E27FC236}">
              <a16:creationId xmlns:a16="http://schemas.microsoft.com/office/drawing/2014/main" id="{633B29C6-E14C-46E8-A1E9-1CEE947E44F9}"/>
            </a:ext>
          </a:extLst>
        </xdr:cNvPr>
        <xdr:cNvSpPr txBox="1"/>
      </xdr:nvSpPr>
      <xdr:spPr>
        <a:xfrm>
          <a:off x="176463" y="3064042"/>
          <a:ext cx="160421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Overdue</a:t>
          </a:r>
          <a:r>
            <a:rPr lang="en-IN" sz="1100" b="1" baseline="0">
              <a:latin typeface="Arial Black" panose="020B0A04020102020204" pitchFamily="34" charset="0"/>
            </a:rPr>
            <a:t> Invoices</a:t>
          </a:r>
          <a:endParaRPr lang="en-IN" sz="1100" b="1">
            <a:latin typeface="Arial Black" panose="020B0A04020102020204" pitchFamily="34" charset="0"/>
          </a:endParaRPr>
        </a:p>
      </xdr:txBody>
    </xdr:sp>
    <xdr:clientData/>
  </xdr:twoCellAnchor>
  <xdr:twoCellAnchor>
    <xdr:from>
      <xdr:col>3</xdr:col>
      <xdr:colOff>489284</xdr:colOff>
      <xdr:row>2</xdr:row>
      <xdr:rowOff>128337</xdr:rowOff>
    </xdr:from>
    <xdr:to>
      <xdr:col>6</xdr:col>
      <xdr:colOff>200525</xdr:colOff>
      <xdr:row>4</xdr:row>
      <xdr:rowOff>64169</xdr:rowOff>
    </xdr:to>
    <xdr:sp macro="" textlink="">
      <xdr:nvSpPr>
        <xdr:cNvPr id="19" name="TextBox 18">
          <a:extLst>
            <a:ext uri="{FF2B5EF4-FFF2-40B4-BE49-F238E27FC236}">
              <a16:creationId xmlns:a16="http://schemas.microsoft.com/office/drawing/2014/main" id="{2FAC914F-DB0B-4439-98E4-4A49677D196D}"/>
            </a:ext>
          </a:extLst>
        </xdr:cNvPr>
        <xdr:cNvSpPr txBox="1"/>
      </xdr:nvSpPr>
      <xdr:spPr>
        <a:xfrm>
          <a:off x="2318084" y="128337"/>
          <a:ext cx="154004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Overdue</a:t>
          </a:r>
          <a:r>
            <a:rPr lang="en-IN" sz="1100" b="1" baseline="0">
              <a:latin typeface="Arial Black" panose="020B0A04020102020204" pitchFamily="34" charset="0"/>
            </a:rPr>
            <a:t> Amount</a:t>
          </a:r>
          <a:endParaRPr lang="en-IN" sz="1100" b="1">
            <a:latin typeface="Arial Black" panose="020B0A04020102020204" pitchFamily="34" charset="0"/>
          </a:endParaRPr>
        </a:p>
      </xdr:txBody>
    </xdr:sp>
    <xdr:clientData/>
  </xdr:twoCellAnchor>
  <xdr:twoCellAnchor>
    <xdr:from>
      <xdr:col>3</xdr:col>
      <xdr:colOff>513347</xdr:colOff>
      <xdr:row>10</xdr:row>
      <xdr:rowOff>64168</xdr:rowOff>
    </xdr:from>
    <xdr:to>
      <xdr:col>6</xdr:col>
      <xdr:colOff>96253</xdr:colOff>
      <xdr:row>12</xdr:row>
      <xdr:rowOff>0</xdr:rowOff>
    </xdr:to>
    <xdr:sp macro="" textlink="">
      <xdr:nvSpPr>
        <xdr:cNvPr id="20" name="TextBox 19">
          <a:extLst>
            <a:ext uri="{FF2B5EF4-FFF2-40B4-BE49-F238E27FC236}">
              <a16:creationId xmlns:a16="http://schemas.microsoft.com/office/drawing/2014/main" id="{B3F12F74-C6B6-4EE6-AEC5-06DAA53F6E53}"/>
            </a:ext>
          </a:extLst>
        </xdr:cNvPr>
        <xdr:cNvSpPr txBox="1"/>
      </xdr:nvSpPr>
      <xdr:spPr>
        <a:xfrm>
          <a:off x="2342147" y="1540042"/>
          <a:ext cx="1411706"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Paid</a:t>
          </a:r>
          <a:r>
            <a:rPr lang="en-IN" sz="1100" b="1" baseline="0">
              <a:latin typeface="Arial Black" panose="020B0A04020102020204" pitchFamily="34" charset="0"/>
            </a:rPr>
            <a:t> Amount</a:t>
          </a:r>
          <a:endParaRPr lang="en-IN" sz="1100" b="1">
            <a:latin typeface="Arial Black" panose="020B0A04020102020204" pitchFamily="34" charset="0"/>
          </a:endParaRPr>
        </a:p>
      </xdr:txBody>
    </xdr:sp>
    <xdr:clientData/>
  </xdr:twoCellAnchor>
  <xdr:twoCellAnchor>
    <xdr:from>
      <xdr:col>0</xdr:col>
      <xdr:colOff>128334</xdr:colOff>
      <xdr:row>12</xdr:row>
      <xdr:rowOff>120316</xdr:rowOff>
    </xdr:from>
    <xdr:to>
      <xdr:col>3</xdr:col>
      <xdr:colOff>56334</xdr:colOff>
      <xdr:row>14</xdr:row>
      <xdr:rowOff>150947</xdr:rowOff>
    </xdr:to>
    <xdr:sp macro="" textlink="">
      <xdr:nvSpPr>
        <xdr:cNvPr id="22" name="TextBox 21">
          <a:extLst>
            <a:ext uri="{FF2B5EF4-FFF2-40B4-BE49-F238E27FC236}">
              <a16:creationId xmlns:a16="http://schemas.microsoft.com/office/drawing/2014/main" id="{776CCBD5-B7CE-490A-A61F-E9EFC8D58BCC}"/>
            </a:ext>
          </a:extLst>
        </xdr:cNvPr>
        <xdr:cNvSpPr txBox="1"/>
      </xdr:nvSpPr>
      <xdr:spPr>
        <a:xfrm>
          <a:off x="128334" y="1965158"/>
          <a:ext cx="1756800" cy="3996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rial Black" panose="020B0A04020102020204" pitchFamily="34" charset="0"/>
            </a:rPr>
            <a:t>20,87,522</a:t>
          </a:r>
        </a:p>
      </xdr:txBody>
    </xdr:sp>
    <xdr:clientData/>
  </xdr:twoCellAnchor>
  <xdr:twoCellAnchor>
    <xdr:from>
      <xdr:col>0</xdr:col>
      <xdr:colOff>88230</xdr:colOff>
      <xdr:row>20</xdr:row>
      <xdr:rowOff>152399</xdr:rowOff>
    </xdr:from>
    <xdr:to>
      <xdr:col>3</xdr:col>
      <xdr:colOff>16230</xdr:colOff>
      <xdr:row>22</xdr:row>
      <xdr:rowOff>183031</xdr:rowOff>
    </xdr:to>
    <xdr:sp macro="" textlink="">
      <xdr:nvSpPr>
        <xdr:cNvPr id="23" name="TextBox 22">
          <a:extLst>
            <a:ext uri="{FF2B5EF4-FFF2-40B4-BE49-F238E27FC236}">
              <a16:creationId xmlns:a16="http://schemas.microsoft.com/office/drawing/2014/main" id="{66C97AA3-3E37-47E2-ACA0-6A956E562B58}"/>
            </a:ext>
          </a:extLst>
        </xdr:cNvPr>
        <xdr:cNvSpPr txBox="1"/>
      </xdr:nvSpPr>
      <xdr:spPr>
        <a:xfrm>
          <a:off x="88230" y="3473115"/>
          <a:ext cx="1756800" cy="3996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rial Black" panose="020B0A04020102020204" pitchFamily="34" charset="0"/>
            </a:rPr>
            <a:t>543</a:t>
          </a:r>
        </a:p>
      </xdr:txBody>
    </xdr:sp>
    <xdr:clientData/>
  </xdr:twoCellAnchor>
  <xdr:twoCellAnchor>
    <xdr:from>
      <xdr:col>3</xdr:col>
      <xdr:colOff>376989</xdr:colOff>
      <xdr:row>12</xdr:row>
      <xdr:rowOff>112295</xdr:rowOff>
    </xdr:from>
    <xdr:to>
      <xdr:col>6</xdr:col>
      <xdr:colOff>304989</xdr:colOff>
      <xdr:row>14</xdr:row>
      <xdr:rowOff>142926</xdr:rowOff>
    </xdr:to>
    <xdr:sp macro="" textlink="">
      <xdr:nvSpPr>
        <xdr:cNvPr id="24" name="TextBox 23">
          <a:extLst>
            <a:ext uri="{FF2B5EF4-FFF2-40B4-BE49-F238E27FC236}">
              <a16:creationId xmlns:a16="http://schemas.microsoft.com/office/drawing/2014/main" id="{5F25ED17-0E44-4EDD-8E64-DAA2E5C58089}"/>
            </a:ext>
          </a:extLst>
        </xdr:cNvPr>
        <xdr:cNvSpPr txBox="1"/>
      </xdr:nvSpPr>
      <xdr:spPr>
        <a:xfrm>
          <a:off x="2205789" y="1957137"/>
          <a:ext cx="1756800" cy="3996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rial Black" panose="020B0A04020102020204" pitchFamily="34" charset="0"/>
            </a:rPr>
            <a:t>7,50,479</a:t>
          </a:r>
        </a:p>
      </xdr:txBody>
    </xdr:sp>
    <xdr:clientData/>
  </xdr:twoCellAnchor>
  <xdr:twoCellAnchor>
    <xdr:from>
      <xdr:col>3</xdr:col>
      <xdr:colOff>409073</xdr:colOff>
      <xdr:row>4</xdr:row>
      <xdr:rowOff>120316</xdr:rowOff>
    </xdr:from>
    <xdr:to>
      <xdr:col>6</xdr:col>
      <xdr:colOff>337073</xdr:colOff>
      <xdr:row>6</xdr:row>
      <xdr:rowOff>150947</xdr:rowOff>
    </xdr:to>
    <xdr:sp macro="" textlink="">
      <xdr:nvSpPr>
        <xdr:cNvPr id="25" name="TextBox 24">
          <a:extLst>
            <a:ext uri="{FF2B5EF4-FFF2-40B4-BE49-F238E27FC236}">
              <a16:creationId xmlns:a16="http://schemas.microsoft.com/office/drawing/2014/main" id="{85A688C4-69EE-4D35-9713-DEB82D4CB8D2}"/>
            </a:ext>
          </a:extLst>
        </xdr:cNvPr>
        <xdr:cNvSpPr txBox="1"/>
      </xdr:nvSpPr>
      <xdr:spPr>
        <a:xfrm>
          <a:off x="2237873" y="489284"/>
          <a:ext cx="1756800" cy="3996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rial Black" panose="020B0A04020102020204" pitchFamily="34" charset="0"/>
            </a:rPr>
            <a:t>14,18,926</a:t>
          </a:r>
        </a:p>
      </xdr:txBody>
    </xdr:sp>
    <xdr:clientData/>
  </xdr:twoCellAnchor>
  <mc:AlternateContent xmlns:mc="http://schemas.openxmlformats.org/markup-compatibility/2006">
    <mc:Choice xmlns:a14="http://schemas.microsoft.com/office/drawing/2010/main" Requires="a14">
      <xdr:twoCellAnchor editAs="oneCell">
        <xdr:from>
          <xdr:col>3</xdr:col>
          <xdr:colOff>603568</xdr:colOff>
          <xdr:row>21</xdr:row>
          <xdr:rowOff>0</xdr:rowOff>
        </xdr:from>
        <xdr:to>
          <xdr:col>5</xdr:col>
          <xdr:colOff>0</xdr:colOff>
          <xdr:row>22</xdr:row>
          <xdr:rowOff>7618</xdr:rowOff>
        </xdr:to>
        <xdr:pic>
          <xdr:nvPicPr>
            <xdr:cNvPr id="37" name="Picture 36">
              <a:extLst>
                <a:ext uri="{FF2B5EF4-FFF2-40B4-BE49-F238E27FC236}">
                  <a16:creationId xmlns:a16="http://schemas.microsoft.com/office/drawing/2014/main" id="{E0AC0C4E-8726-4747-9521-1F9024CB8BF4}"/>
                </a:ext>
              </a:extLst>
            </xdr:cNvPr>
            <xdr:cNvPicPr>
              <a:picLocks noChangeAspect="1" noChangeArrowheads="1"/>
              <a:extLst>
                <a:ext uri="{84589F7E-364E-4C9E-8A38-B11213B215E9}">
                  <a14:cameraTool cellRange="$M$800" spid="_x0000_s2559"/>
                </a:ext>
              </a:extLst>
            </xdr:cNvPicPr>
          </xdr:nvPicPr>
          <xdr:blipFill>
            <a:blip xmlns:r="http://schemas.openxmlformats.org/officeDocument/2006/relationships" r:embed="rId5"/>
            <a:srcRect/>
            <a:stretch>
              <a:fillRect/>
            </a:stretch>
          </xdr:blipFill>
          <xdr:spPr bwMode="auto">
            <a:xfrm>
              <a:off x="9442768" y="145572480"/>
              <a:ext cx="615632" cy="1904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603568</xdr:colOff>
          <xdr:row>21</xdr:row>
          <xdr:rowOff>0</xdr:rowOff>
        </xdr:from>
        <xdr:to>
          <xdr:col>5</xdr:col>
          <xdr:colOff>0</xdr:colOff>
          <xdr:row>22</xdr:row>
          <xdr:rowOff>7618</xdr:rowOff>
        </xdr:to>
        <xdr:pic>
          <xdr:nvPicPr>
            <xdr:cNvPr id="38" name="Picture 37">
              <a:extLst>
                <a:ext uri="{FF2B5EF4-FFF2-40B4-BE49-F238E27FC236}">
                  <a16:creationId xmlns:a16="http://schemas.microsoft.com/office/drawing/2014/main" id="{379A4E01-8E83-49C8-982B-53DC0C100F82}"/>
                </a:ext>
              </a:extLst>
            </xdr:cNvPr>
            <xdr:cNvPicPr>
              <a:picLocks noChangeAspect="1" noChangeArrowheads="1"/>
              <a:extLst>
                <a:ext uri="{84589F7E-364E-4C9E-8A38-B11213B215E9}">
                  <a14:cameraTool cellRange="$M$800" spid="_x0000_s2560"/>
                </a:ext>
              </a:extLst>
            </xdr:cNvPicPr>
          </xdr:nvPicPr>
          <xdr:blipFill>
            <a:blip xmlns:r="http://schemas.openxmlformats.org/officeDocument/2006/relationships" r:embed="rId5"/>
            <a:srcRect/>
            <a:stretch>
              <a:fillRect/>
            </a:stretch>
          </xdr:blipFill>
          <xdr:spPr bwMode="auto">
            <a:xfrm>
              <a:off x="9442768" y="145572480"/>
              <a:ext cx="615632" cy="1904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272716</xdr:colOff>
          <xdr:row>7</xdr:row>
          <xdr:rowOff>0</xdr:rowOff>
        </xdr:from>
        <xdr:to>
          <xdr:col>2</xdr:col>
          <xdr:colOff>553453</xdr:colOff>
          <xdr:row>8</xdr:row>
          <xdr:rowOff>152540</xdr:rowOff>
        </xdr:to>
        <xdr:pic>
          <xdr:nvPicPr>
            <xdr:cNvPr id="40" name="Picture 39">
              <a:extLst>
                <a:ext uri="{FF2B5EF4-FFF2-40B4-BE49-F238E27FC236}">
                  <a16:creationId xmlns:a16="http://schemas.microsoft.com/office/drawing/2014/main" id="{DC8DFDC2-0C55-4145-C599-8D88BE484F0C}"/>
                </a:ext>
              </a:extLst>
            </xdr:cNvPr>
            <xdr:cNvPicPr>
              <a:picLocks noChangeAspect="1" noChangeArrowheads="1"/>
              <a:extLst>
                <a:ext uri="{84589F7E-364E-4C9E-8A38-B11213B215E9}">
                  <a14:cameraTool cellRange="dataset!#REF!" spid="_x0000_s2561"/>
                </a:ext>
              </a:extLst>
            </xdr:cNvPicPr>
          </xdr:nvPicPr>
          <xdr:blipFill>
            <a:blip xmlns:r="http://schemas.openxmlformats.org/officeDocument/2006/relationships" r:embed="rId6"/>
            <a:srcRect/>
            <a:stretch>
              <a:fillRect/>
            </a:stretch>
          </xdr:blipFill>
          <xdr:spPr bwMode="auto">
            <a:xfrm>
              <a:off x="272716" y="922421"/>
              <a:ext cx="1499937" cy="337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240632</xdr:colOff>
          <xdr:row>15</xdr:row>
          <xdr:rowOff>0</xdr:rowOff>
        </xdr:from>
        <xdr:to>
          <xdr:col>2</xdr:col>
          <xdr:colOff>521369</xdr:colOff>
          <xdr:row>16</xdr:row>
          <xdr:rowOff>152541</xdr:rowOff>
        </xdr:to>
        <xdr:pic>
          <xdr:nvPicPr>
            <xdr:cNvPr id="43" name="Picture 42">
              <a:extLst>
                <a:ext uri="{FF2B5EF4-FFF2-40B4-BE49-F238E27FC236}">
                  <a16:creationId xmlns:a16="http://schemas.microsoft.com/office/drawing/2014/main" id="{8F7437B6-45E5-4EEB-99B6-3D51BE003FBF}"/>
                </a:ext>
              </a:extLst>
            </xdr:cNvPr>
            <xdr:cNvPicPr>
              <a:picLocks noChangeAspect="1" noChangeArrowheads="1"/>
              <a:extLst>
                <a:ext uri="{84589F7E-364E-4C9E-8A38-B11213B215E9}">
                  <a14:cameraTool cellRange="dataset!#REF!" spid="_x0000_s2562"/>
                </a:ext>
              </a:extLst>
            </xdr:cNvPicPr>
          </xdr:nvPicPr>
          <xdr:blipFill>
            <a:blip xmlns:r="http://schemas.openxmlformats.org/officeDocument/2006/relationships" r:embed="rId6"/>
            <a:srcRect/>
            <a:stretch>
              <a:fillRect/>
            </a:stretch>
          </xdr:blipFill>
          <xdr:spPr bwMode="auto">
            <a:xfrm>
              <a:off x="240632" y="2398295"/>
              <a:ext cx="1499937" cy="337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168442</xdr:colOff>
          <xdr:row>23</xdr:row>
          <xdr:rowOff>0</xdr:rowOff>
        </xdr:from>
        <xdr:to>
          <xdr:col>2</xdr:col>
          <xdr:colOff>449179</xdr:colOff>
          <xdr:row>24</xdr:row>
          <xdr:rowOff>152541</xdr:rowOff>
        </xdr:to>
        <xdr:pic>
          <xdr:nvPicPr>
            <xdr:cNvPr id="45" name="Picture 44">
              <a:extLst>
                <a:ext uri="{FF2B5EF4-FFF2-40B4-BE49-F238E27FC236}">
                  <a16:creationId xmlns:a16="http://schemas.microsoft.com/office/drawing/2014/main" id="{36D499E6-F8BD-4428-AB80-5DF226EA9AF5}"/>
                </a:ext>
              </a:extLst>
            </xdr:cNvPr>
            <xdr:cNvPicPr>
              <a:picLocks noChangeAspect="1" noChangeArrowheads="1"/>
              <a:extLst>
                <a:ext uri="{84589F7E-364E-4C9E-8A38-B11213B215E9}">
                  <a14:cameraTool cellRange="dataset!#REF!" spid="_x0000_s2563"/>
                </a:ext>
              </a:extLst>
            </xdr:cNvPicPr>
          </xdr:nvPicPr>
          <xdr:blipFill>
            <a:blip xmlns:r="http://schemas.openxmlformats.org/officeDocument/2006/relationships" r:embed="rId6"/>
            <a:srcRect/>
            <a:stretch>
              <a:fillRect/>
            </a:stretch>
          </xdr:blipFill>
          <xdr:spPr bwMode="auto">
            <a:xfrm>
              <a:off x="168442" y="3874168"/>
              <a:ext cx="1499937" cy="337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561474</xdr:colOff>
          <xdr:row>7</xdr:row>
          <xdr:rowOff>31943</xdr:rowOff>
        </xdr:from>
        <xdr:to>
          <xdr:col>6</xdr:col>
          <xdr:colOff>232611</xdr:colOff>
          <xdr:row>9</xdr:row>
          <xdr:rowOff>3508</xdr:rowOff>
        </xdr:to>
        <xdr:pic>
          <xdr:nvPicPr>
            <xdr:cNvPr id="46" name="Picture 45">
              <a:extLst>
                <a:ext uri="{FF2B5EF4-FFF2-40B4-BE49-F238E27FC236}">
                  <a16:creationId xmlns:a16="http://schemas.microsoft.com/office/drawing/2014/main" id="{87914D1F-068C-4D2F-94AE-CA0650A751B7}"/>
                </a:ext>
              </a:extLst>
            </xdr:cNvPr>
            <xdr:cNvPicPr>
              <a:picLocks noChangeAspect="1" noChangeArrowheads="1"/>
              <a:extLst>
                <a:ext uri="{84589F7E-364E-4C9E-8A38-B11213B215E9}">
                  <a14:cameraTool cellRange="dataset!#REF!" spid="_x0000_s2564"/>
                </a:ext>
              </a:extLst>
            </xdr:cNvPicPr>
          </xdr:nvPicPr>
          <xdr:blipFill>
            <a:blip xmlns:r="http://schemas.openxmlformats.org/officeDocument/2006/relationships" r:embed="rId6"/>
            <a:srcRect/>
            <a:stretch>
              <a:fillRect/>
            </a:stretch>
          </xdr:blipFill>
          <xdr:spPr bwMode="auto">
            <a:xfrm>
              <a:off x="2390274" y="954364"/>
              <a:ext cx="1499937" cy="337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513347</xdr:colOff>
          <xdr:row>15</xdr:row>
          <xdr:rowOff>0</xdr:rowOff>
        </xdr:from>
        <xdr:to>
          <xdr:col>6</xdr:col>
          <xdr:colOff>184484</xdr:colOff>
          <xdr:row>16</xdr:row>
          <xdr:rowOff>152541</xdr:rowOff>
        </xdr:to>
        <xdr:pic>
          <xdr:nvPicPr>
            <xdr:cNvPr id="47" name="Picture 46">
              <a:extLst>
                <a:ext uri="{FF2B5EF4-FFF2-40B4-BE49-F238E27FC236}">
                  <a16:creationId xmlns:a16="http://schemas.microsoft.com/office/drawing/2014/main" id="{F1328A8A-5DEB-40EF-A6CE-87D2DCBDE42F}"/>
                </a:ext>
              </a:extLst>
            </xdr:cNvPr>
            <xdr:cNvPicPr>
              <a:picLocks noChangeAspect="1" noChangeArrowheads="1"/>
              <a:extLst>
                <a:ext uri="{84589F7E-364E-4C9E-8A38-B11213B215E9}">
                  <a14:cameraTool cellRange="dataset!#REF!" spid="_x0000_s2565"/>
                </a:ext>
              </a:extLst>
            </xdr:cNvPicPr>
          </xdr:nvPicPr>
          <xdr:blipFill>
            <a:blip xmlns:r="http://schemas.openxmlformats.org/officeDocument/2006/relationships" r:embed="rId6"/>
            <a:srcRect/>
            <a:stretch>
              <a:fillRect/>
            </a:stretch>
          </xdr:blipFill>
          <xdr:spPr bwMode="auto">
            <a:xfrm>
              <a:off x="2342147" y="2398295"/>
              <a:ext cx="1499937" cy="337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20</xdr:col>
      <xdr:colOff>0</xdr:colOff>
      <xdr:row>2</xdr:row>
      <xdr:rowOff>61360</xdr:rowOff>
    </xdr:from>
    <xdr:to>
      <xdr:col>23</xdr:col>
      <xdr:colOff>0</xdr:colOff>
      <xdr:row>11</xdr:row>
      <xdr:rowOff>112294</xdr:rowOff>
    </xdr:to>
    <mc:AlternateContent xmlns:mc="http://schemas.openxmlformats.org/markup-compatibility/2006" xmlns:a14="http://schemas.microsoft.com/office/drawing/2010/main">
      <mc:Choice Requires="a14">
        <xdr:graphicFrame macro="">
          <xdr:nvGraphicFramePr>
            <xdr:cNvPr id="48" name="Vendor">
              <a:extLst>
                <a:ext uri="{FF2B5EF4-FFF2-40B4-BE49-F238E27FC236}">
                  <a16:creationId xmlns:a16="http://schemas.microsoft.com/office/drawing/2014/main" id="{68734528-E3C2-1C20-F4C7-0EF9FC7C80BC}"/>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12192000" y="61360"/>
              <a:ext cx="1828800" cy="1711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176463</xdr:rowOff>
    </xdr:from>
    <xdr:to>
      <xdr:col>23</xdr:col>
      <xdr:colOff>0</xdr:colOff>
      <xdr:row>18</xdr:row>
      <xdr:rowOff>42912</xdr:rowOff>
    </xdr:to>
    <mc:AlternateContent xmlns:mc="http://schemas.openxmlformats.org/markup-compatibility/2006" xmlns:a14="http://schemas.microsoft.com/office/drawing/2010/main">
      <mc:Choice Requires="a14">
        <xdr:graphicFrame macro="">
          <xdr:nvGraphicFramePr>
            <xdr:cNvPr id="49" name="Status">
              <a:extLst>
                <a:ext uri="{FF2B5EF4-FFF2-40B4-BE49-F238E27FC236}">
                  <a16:creationId xmlns:a16="http://schemas.microsoft.com/office/drawing/2014/main" id="{A7DC9D9F-E781-D222-15BF-5E467689294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192000" y="1836821"/>
              <a:ext cx="1828800" cy="115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18</xdr:row>
      <xdr:rowOff>125529</xdr:rowOff>
    </xdr:from>
    <xdr:to>
      <xdr:col>23</xdr:col>
      <xdr:colOff>0</xdr:colOff>
      <xdr:row>27</xdr:row>
      <xdr:rowOff>176463</xdr:rowOff>
    </xdr:to>
    <mc:AlternateContent xmlns:mc="http://schemas.openxmlformats.org/markup-compatibility/2006" xmlns:a14="http://schemas.microsoft.com/office/drawing/2010/main">
      <mc:Choice Requires="a14">
        <xdr:graphicFrame macro="">
          <xdr:nvGraphicFramePr>
            <xdr:cNvPr id="50" name="Currency">
              <a:extLst>
                <a:ext uri="{FF2B5EF4-FFF2-40B4-BE49-F238E27FC236}">
                  <a16:creationId xmlns:a16="http://schemas.microsoft.com/office/drawing/2014/main" id="{4F8630FB-672D-D0FE-9B13-DD869D0BA640}"/>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2192000" y="3077276"/>
              <a:ext cx="1828800" cy="1711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601980</xdr:colOff>
          <xdr:row>21</xdr:row>
          <xdr:rowOff>0</xdr:rowOff>
        </xdr:from>
        <xdr:to>
          <xdr:col>5</xdr:col>
          <xdr:colOff>0</xdr:colOff>
          <xdr:row>22</xdr:row>
          <xdr:rowOff>7619</xdr:rowOff>
        </xdr:to>
        <xdr:pic>
          <xdr:nvPicPr>
            <xdr:cNvPr id="2124" name="Picture 36">
              <a:extLst>
                <a:ext uri="{FF2B5EF4-FFF2-40B4-BE49-F238E27FC236}">
                  <a16:creationId xmlns:a16="http://schemas.microsoft.com/office/drawing/2014/main" id="{D1F23FBE-A198-E82C-39FC-A0E783007B73}"/>
                </a:ext>
              </a:extLst>
            </xdr:cNvPr>
            <xdr:cNvPicPr>
              <a:picLocks noChangeAspect="1" noChangeArrowheads="1"/>
              <a:extLst>
                <a:ext uri="{84589F7E-364E-4C9E-8A38-B11213B215E9}">
                  <a14:cameraTool cellRange="$M$800" spid="_x0000_s2566"/>
                </a:ext>
              </a:extLst>
            </xdr:cNvPicPr>
          </xdr:nvPicPr>
          <xdr:blipFill>
            <a:blip xmlns:r="http://schemas.openxmlformats.org/officeDocument/2006/relationships" r:embed="rId5"/>
            <a:srcRect/>
            <a:stretch>
              <a:fillRect/>
            </a:stretch>
          </xdr:blipFill>
          <xdr:spPr bwMode="auto">
            <a:xfrm>
              <a:off x="2430780" y="34747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601980</xdr:colOff>
          <xdr:row>21</xdr:row>
          <xdr:rowOff>0</xdr:rowOff>
        </xdr:from>
        <xdr:to>
          <xdr:col>5</xdr:col>
          <xdr:colOff>0</xdr:colOff>
          <xdr:row>22</xdr:row>
          <xdr:rowOff>7619</xdr:rowOff>
        </xdr:to>
        <xdr:pic>
          <xdr:nvPicPr>
            <xdr:cNvPr id="2125" name="Picture 37">
              <a:extLst>
                <a:ext uri="{FF2B5EF4-FFF2-40B4-BE49-F238E27FC236}">
                  <a16:creationId xmlns:a16="http://schemas.microsoft.com/office/drawing/2014/main" id="{132C1BEF-A625-60D9-0151-ABFD17452D5E}"/>
                </a:ext>
              </a:extLst>
            </xdr:cNvPr>
            <xdr:cNvPicPr>
              <a:picLocks noChangeAspect="1" noChangeArrowheads="1"/>
              <a:extLst>
                <a:ext uri="{84589F7E-364E-4C9E-8A38-B11213B215E9}">
                  <a14:cameraTool cellRange="$M$800" spid="_x0000_s2567"/>
                </a:ext>
              </a:extLst>
            </xdr:cNvPicPr>
          </xdr:nvPicPr>
          <xdr:blipFill>
            <a:blip xmlns:r="http://schemas.openxmlformats.org/officeDocument/2006/relationships" r:embed="rId5"/>
            <a:srcRect/>
            <a:stretch>
              <a:fillRect/>
            </a:stretch>
          </xdr:blipFill>
          <xdr:spPr bwMode="auto">
            <a:xfrm>
              <a:off x="2430780" y="34747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274320</xdr:colOff>
          <xdr:row>7</xdr:row>
          <xdr:rowOff>0</xdr:rowOff>
        </xdr:from>
        <xdr:to>
          <xdr:col>2</xdr:col>
          <xdr:colOff>556260</xdr:colOff>
          <xdr:row>8</xdr:row>
          <xdr:rowOff>152399</xdr:rowOff>
        </xdr:to>
        <xdr:pic>
          <xdr:nvPicPr>
            <xdr:cNvPr id="2126" name="Picture 39">
              <a:extLst>
                <a:ext uri="{FF2B5EF4-FFF2-40B4-BE49-F238E27FC236}">
                  <a16:creationId xmlns:a16="http://schemas.microsoft.com/office/drawing/2014/main" id="{7640BA86-7FEB-0D95-7954-D035CDF703FD}"/>
                </a:ext>
              </a:extLst>
            </xdr:cNvPr>
            <xdr:cNvPicPr>
              <a:picLocks noChangeAspect="1" noChangeArrowheads="1"/>
              <a:extLst>
                <a:ext uri="{84589F7E-364E-4C9E-8A38-B11213B215E9}">
                  <a14:cameraTool cellRange="dataset!#REF!" spid="_x0000_s2568"/>
                </a:ext>
              </a:extLst>
            </xdr:cNvPicPr>
          </xdr:nvPicPr>
          <xdr:blipFill>
            <a:blip xmlns:r="http://schemas.openxmlformats.org/officeDocument/2006/relationships" r:embed="rId6"/>
            <a:srcRect/>
            <a:stretch>
              <a:fillRect/>
            </a:stretch>
          </xdr:blipFill>
          <xdr:spPr bwMode="auto">
            <a:xfrm>
              <a:off x="274320" y="91440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243840</xdr:colOff>
          <xdr:row>15</xdr:row>
          <xdr:rowOff>0</xdr:rowOff>
        </xdr:from>
        <xdr:to>
          <xdr:col>2</xdr:col>
          <xdr:colOff>518160</xdr:colOff>
          <xdr:row>16</xdr:row>
          <xdr:rowOff>152400</xdr:rowOff>
        </xdr:to>
        <xdr:pic>
          <xdr:nvPicPr>
            <xdr:cNvPr id="2127" name="Picture 42">
              <a:extLst>
                <a:ext uri="{FF2B5EF4-FFF2-40B4-BE49-F238E27FC236}">
                  <a16:creationId xmlns:a16="http://schemas.microsoft.com/office/drawing/2014/main" id="{0C32CB90-08A9-CBB4-9819-FF9543CFF762}"/>
                </a:ext>
              </a:extLst>
            </xdr:cNvPr>
            <xdr:cNvPicPr>
              <a:picLocks noChangeAspect="1" noChangeArrowheads="1"/>
              <a:extLst>
                <a:ext uri="{84589F7E-364E-4C9E-8A38-B11213B215E9}">
                  <a14:cameraTool cellRange="dataset!#REF!" spid="_x0000_s2569"/>
                </a:ext>
              </a:extLst>
            </xdr:cNvPicPr>
          </xdr:nvPicPr>
          <xdr:blipFill>
            <a:blip xmlns:r="http://schemas.openxmlformats.org/officeDocument/2006/relationships" r:embed="rId6"/>
            <a:srcRect/>
            <a:stretch>
              <a:fillRect/>
            </a:stretch>
          </xdr:blipFill>
          <xdr:spPr bwMode="auto">
            <a:xfrm>
              <a:off x="243840" y="2377440"/>
              <a:ext cx="149352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167640</xdr:colOff>
          <xdr:row>23</xdr:row>
          <xdr:rowOff>0</xdr:rowOff>
        </xdr:from>
        <xdr:to>
          <xdr:col>2</xdr:col>
          <xdr:colOff>449580</xdr:colOff>
          <xdr:row>24</xdr:row>
          <xdr:rowOff>152401</xdr:rowOff>
        </xdr:to>
        <xdr:pic>
          <xdr:nvPicPr>
            <xdr:cNvPr id="2128" name="Picture 44">
              <a:extLst>
                <a:ext uri="{FF2B5EF4-FFF2-40B4-BE49-F238E27FC236}">
                  <a16:creationId xmlns:a16="http://schemas.microsoft.com/office/drawing/2014/main" id="{F477B223-CD0F-C878-BED1-D2818F666C5D}"/>
                </a:ext>
              </a:extLst>
            </xdr:cNvPr>
            <xdr:cNvPicPr>
              <a:picLocks noChangeAspect="1" noChangeArrowheads="1"/>
              <a:extLst>
                <a:ext uri="{84589F7E-364E-4C9E-8A38-B11213B215E9}">
                  <a14:cameraTool cellRange="dataset!#REF!" spid="_x0000_s2570"/>
                </a:ext>
              </a:extLst>
            </xdr:cNvPicPr>
          </xdr:nvPicPr>
          <xdr:blipFill>
            <a:blip xmlns:r="http://schemas.openxmlformats.org/officeDocument/2006/relationships" r:embed="rId6"/>
            <a:srcRect/>
            <a:stretch>
              <a:fillRect/>
            </a:stretch>
          </xdr:blipFill>
          <xdr:spPr bwMode="auto">
            <a:xfrm>
              <a:off x="167640" y="384048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7</xdr:row>
          <xdr:rowOff>30480</xdr:rowOff>
        </xdr:from>
        <xdr:to>
          <xdr:col>6</xdr:col>
          <xdr:colOff>236220</xdr:colOff>
          <xdr:row>9</xdr:row>
          <xdr:rowOff>3508</xdr:rowOff>
        </xdr:to>
        <xdr:pic>
          <xdr:nvPicPr>
            <xdr:cNvPr id="2129" name="Picture 45">
              <a:extLst>
                <a:ext uri="{FF2B5EF4-FFF2-40B4-BE49-F238E27FC236}">
                  <a16:creationId xmlns:a16="http://schemas.microsoft.com/office/drawing/2014/main" id="{1F855C7C-7B44-7FF0-1BF5-A0DAA9CDE84F}"/>
                </a:ext>
              </a:extLst>
            </xdr:cNvPr>
            <xdr:cNvPicPr>
              <a:picLocks noChangeAspect="1" noChangeArrowheads="1"/>
              <a:extLst>
                <a:ext uri="{84589F7E-364E-4C9E-8A38-B11213B215E9}">
                  <a14:cameraTool cellRange="dataset!#REF!" spid="_x0000_s2571"/>
                </a:ext>
              </a:extLst>
            </xdr:cNvPicPr>
          </xdr:nvPicPr>
          <xdr:blipFill>
            <a:blip xmlns:r="http://schemas.openxmlformats.org/officeDocument/2006/relationships" r:embed="rId6"/>
            <a:srcRect/>
            <a:stretch>
              <a:fillRect/>
            </a:stretch>
          </xdr:blipFill>
          <xdr:spPr bwMode="auto">
            <a:xfrm>
              <a:off x="2392680" y="94488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510540</xdr:colOff>
          <xdr:row>15</xdr:row>
          <xdr:rowOff>0</xdr:rowOff>
        </xdr:from>
        <xdr:to>
          <xdr:col>6</xdr:col>
          <xdr:colOff>182880</xdr:colOff>
          <xdr:row>16</xdr:row>
          <xdr:rowOff>152400</xdr:rowOff>
        </xdr:to>
        <xdr:pic>
          <xdr:nvPicPr>
            <xdr:cNvPr id="2130" name="Picture 46">
              <a:extLst>
                <a:ext uri="{FF2B5EF4-FFF2-40B4-BE49-F238E27FC236}">
                  <a16:creationId xmlns:a16="http://schemas.microsoft.com/office/drawing/2014/main" id="{1473D462-D33C-4688-9E07-D293E52818E7}"/>
                </a:ext>
              </a:extLst>
            </xdr:cNvPr>
            <xdr:cNvPicPr>
              <a:picLocks noChangeAspect="1" noChangeArrowheads="1"/>
              <a:extLst>
                <a:ext uri="{84589F7E-364E-4C9E-8A38-B11213B215E9}">
                  <a14:cameraTool cellRange="dataset!#REF!" spid="_x0000_s2572"/>
                </a:ext>
              </a:extLst>
            </xdr:cNvPicPr>
          </xdr:nvPicPr>
          <xdr:blipFill>
            <a:blip xmlns:r="http://schemas.openxmlformats.org/officeDocument/2006/relationships" r:embed="rId6"/>
            <a:srcRect/>
            <a:stretch>
              <a:fillRect/>
            </a:stretch>
          </xdr:blipFill>
          <xdr:spPr bwMode="auto">
            <a:xfrm>
              <a:off x="2339340" y="237744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601980</xdr:colOff>
          <xdr:row>21</xdr:row>
          <xdr:rowOff>0</xdr:rowOff>
        </xdr:from>
        <xdr:to>
          <xdr:col>5</xdr:col>
          <xdr:colOff>0</xdr:colOff>
          <xdr:row>22</xdr:row>
          <xdr:rowOff>7619</xdr:rowOff>
        </xdr:to>
        <xdr:pic>
          <xdr:nvPicPr>
            <xdr:cNvPr id="2159" name="Picture 111">
              <a:extLst>
                <a:ext uri="{FF2B5EF4-FFF2-40B4-BE49-F238E27FC236}">
                  <a16:creationId xmlns:a16="http://schemas.microsoft.com/office/drawing/2014/main" id="{6EB31964-A5C6-EF3F-7E85-5ED60052D919}"/>
                </a:ext>
              </a:extLst>
            </xdr:cNvPr>
            <xdr:cNvPicPr>
              <a:picLocks noChangeAspect="1" noChangeArrowheads="1"/>
              <a:extLst>
                <a:ext uri="{84589F7E-364E-4C9E-8A38-B11213B215E9}">
                  <a14:cameraTool cellRange="$M$800" spid="_x0000_s2573"/>
                </a:ext>
              </a:extLst>
            </xdr:cNvPicPr>
          </xdr:nvPicPr>
          <xdr:blipFill>
            <a:blip xmlns:r="http://schemas.openxmlformats.org/officeDocument/2006/relationships" r:embed="rId5"/>
            <a:srcRect/>
            <a:stretch>
              <a:fillRect/>
            </a:stretch>
          </xdr:blipFill>
          <xdr:spPr bwMode="auto">
            <a:xfrm>
              <a:off x="2430780" y="34747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601980</xdr:colOff>
          <xdr:row>21</xdr:row>
          <xdr:rowOff>0</xdr:rowOff>
        </xdr:from>
        <xdr:to>
          <xdr:col>5</xdr:col>
          <xdr:colOff>0</xdr:colOff>
          <xdr:row>22</xdr:row>
          <xdr:rowOff>7619</xdr:rowOff>
        </xdr:to>
        <xdr:pic>
          <xdr:nvPicPr>
            <xdr:cNvPr id="2160" name="Picture 112">
              <a:extLst>
                <a:ext uri="{FF2B5EF4-FFF2-40B4-BE49-F238E27FC236}">
                  <a16:creationId xmlns:a16="http://schemas.microsoft.com/office/drawing/2014/main" id="{81436F50-89AE-CBDB-106E-1AF6C8F89CB8}"/>
                </a:ext>
              </a:extLst>
            </xdr:cNvPr>
            <xdr:cNvPicPr>
              <a:picLocks noChangeAspect="1" noChangeArrowheads="1"/>
              <a:extLst>
                <a:ext uri="{84589F7E-364E-4C9E-8A38-B11213B215E9}">
                  <a14:cameraTool cellRange="$M$800" spid="_x0000_s2574"/>
                </a:ext>
              </a:extLst>
            </xdr:cNvPicPr>
          </xdr:nvPicPr>
          <xdr:blipFill>
            <a:blip xmlns:r="http://schemas.openxmlformats.org/officeDocument/2006/relationships" r:embed="rId5"/>
            <a:srcRect/>
            <a:stretch>
              <a:fillRect/>
            </a:stretch>
          </xdr:blipFill>
          <xdr:spPr bwMode="auto">
            <a:xfrm>
              <a:off x="2430780" y="34747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274320</xdr:colOff>
          <xdr:row>7</xdr:row>
          <xdr:rowOff>0</xdr:rowOff>
        </xdr:from>
        <xdr:to>
          <xdr:col>2</xdr:col>
          <xdr:colOff>556260</xdr:colOff>
          <xdr:row>8</xdr:row>
          <xdr:rowOff>152399</xdr:rowOff>
        </xdr:to>
        <xdr:pic>
          <xdr:nvPicPr>
            <xdr:cNvPr id="2161" name="Picture 113">
              <a:extLst>
                <a:ext uri="{FF2B5EF4-FFF2-40B4-BE49-F238E27FC236}">
                  <a16:creationId xmlns:a16="http://schemas.microsoft.com/office/drawing/2014/main" id="{0DA510E2-977A-C8BF-5E31-F9829C1B8F5A}"/>
                </a:ext>
              </a:extLst>
            </xdr:cNvPr>
            <xdr:cNvPicPr>
              <a:picLocks noChangeAspect="1" noChangeArrowheads="1"/>
              <a:extLst>
                <a:ext uri="{84589F7E-364E-4C9E-8A38-B11213B215E9}">
                  <a14:cameraTool cellRange="dataset!#REF!" spid="_x0000_s2575"/>
                </a:ext>
              </a:extLst>
            </xdr:cNvPicPr>
          </xdr:nvPicPr>
          <xdr:blipFill>
            <a:blip xmlns:r="http://schemas.openxmlformats.org/officeDocument/2006/relationships" r:embed="rId6"/>
            <a:srcRect/>
            <a:stretch>
              <a:fillRect/>
            </a:stretch>
          </xdr:blipFill>
          <xdr:spPr bwMode="auto">
            <a:xfrm>
              <a:off x="274320" y="91440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243840</xdr:colOff>
          <xdr:row>15</xdr:row>
          <xdr:rowOff>0</xdr:rowOff>
        </xdr:from>
        <xdr:to>
          <xdr:col>2</xdr:col>
          <xdr:colOff>518160</xdr:colOff>
          <xdr:row>16</xdr:row>
          <xdr:rowOff>152400</xdr:rowOff>
        </xdr:to>
        <xdr:pic>
          <xdr:nvPicPr>
            <xdr:cNvPr id="2162" name="Picture 114">
              <a:extLst>
                <a:ext uri="{FF2B5EF4-FFF2-40B4-BE49-F238E27FC236}">
                  <a16:creationId xmlns:a16="http://schemas.microsoft.com/office/drawing/2014/main" id="{E2A882E7-E492-85F7-204B-CF1EDE0B886A}"/>
                </a:ext>
              </a:extLst>
            </xdr:cNvPr>
            <xdr:cNvPicPr>
              <a:picLocks noChangeAspect="1" noChangeArrowheads="1"/>
              <a:extLst>
                <a:ext uri="{84589F7E-364E-4C9E-8A38-B11213B215E9}">
                  <a14:cameraTool cellRange="dataset!#REF!" spid="_x0000_s2576"/>
                </a:ext>
              </a:extLst>
            </xdr:cNvPicPr>
          </xdr:nvPicPr>
          <xdr:blipFill>
            <a:blip xmlns:r="http://schemas.openxmlformats.org/officeDocument/2006/relationships" r:embed="rId6"/>
            <a:srcRect/>
            <a:stretch>
              <a:fillRect/>
            </a:stretch>
          </xdr:blipFill>
          <xdr:spPr bwMode="auto">
            <a:xfrm>
              <a:off x="243840" y="2377440"/>
              <a:ext cx="149352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167640</xdr:colOff>
          <xdr:row>23</xdr:row>
          <xdr:rowOff>0</xdr:rowOff>
        </xdr:from>
        <xdr:to>
          <xdr:col>2</xdr:col>
          <xdr:colOff>449580</xdr:colOff>
          <xdr:row>24</xdr:row>
          <xdr:rowOff>152401</xdr:rowOff>
        </xdr:to>
        <xdr:pic>
          <xdr:nvPicPr>
            <xdr:cNvPr id="2163" name="Picture 115">
              <a:extLst>
                <a:ext uri="{FF2B5EF4-FFF2-40B4-BE49-F238E27FC236}">
                  <a16:creationId xmlns:a16="http://schemas.microsoft.com/office/drawing/2014/main" id="{67B9C620-4925-C854-815C-7E911C6F5328}"/>
                </a:ext>
              </a:extLst>
            </xdr:cNvPr>
            <xdr:cNvPicPr>
              <a:picLocks noChangeAspect="1" noChangeArrowheads="1"/>
              <a:extLst>
                <a:ext uri="{84589F7E-364E-4C9E-8A38-B11213B215E9}">
                  <a14:cameraTool cellRange="dataset!#REF!" spid="_x0000_s2577"/>
                </a:ext>
              </a:extLst>
            </xdr:cNvPicPr>
          </xdr:nvPicPr>
          <xdr:blipFill>
            <a:blip xmlns:r="http://schemas.openxmlformats.org/officeDocument/2006/relationships" r:embed="rId6"/>
            <a:srcRect/>
            <a:stretch>
              <a:fillRect/>
            </a:stretch>
          </xdr:blipFill>
          <xdr:spPr bwMode="auto">
            <a:xfrm>
              <a:off x="167640" y="384048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7</xdr:row>
          <xdr:rowOff>30480</xdr:rowOff>
        </xdr:from>
        <xdr:to>
          <xdr:col>6</xdr:col>
          <xdr:colOff>236220</xdr:colOff>
          <xdr:row>9</xdr:row>
          <xdr:rowOff>3508</xdr:rowOff>
        </xdr:to>
        <xdr:pic>
          <xdr:nvPicPr>
            <xdr:cNvPr id="2164" name="Picture 116">
              <a:extLst>
                <a:ext uri="{FF2B5EF4-FFF2-40B4-BE49-F238E27FC236}">
                  <a16:creationId xmlns:a16="http://schemas.microsoft.com/office/drawing/2014/main" id="{22688ABE-CEE7-81A9-D064-4CBA56863394}"/>
                </a:ext>
              </a:extLst>
            </xdr:cNvPr>
            <xdr:cNvPicPr>
              <a:picLocks noChangeAspect="1" noChangeArrowheads="1"/>
              <a:extLst>
                <a:ext uri="{84589F7E-364E-4C9E-8A38-B11213B215E9}">
                  <a14:cameraTool cellRange="dataset!#REF!" spid="_x0000_s2578"/>
                </a:ext>
              </a:extLst>
            </xdr:cNvPicPr>
          </xdr:nvPicPr>
          <xdr:blipFill>
            <a:blip xmlns:r="http://schemas.openxmlformats.org/officeDocument/2006/relationships" r:embed="rId6"/>
            <a:srcRect/>
            <a:stretch>
              <a:fillRect/>
            </a:stretch>
          </xdr:blipFill>
          <xdr:spPr bwMode="auto">
            <a:xfrm>
              <a:off x="2392680" y="94488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510540</xdr:colOff>
          <xdr:row>15</xdr:row>
          <xdr:rowOff>0</xdr:rowOff>
        </xdr:from>
        <xdr:to>
          <xdr:col>6</xdr:col>
          <xdr:colOff>182880</xdr:colOff>
          <xdr:row>16</xdr:row>
          <xdr:rowOff>152400</xdr:rowOff>
        </xdr:to>
        <xdr:pic>
          <xdr:nvPicPr>
            <xdr:cNvPr id="2165" name="Picture 117">
              <a:extLst>
                <a:ext uri="{FF2B5EF4-FFF2-40B4-BE49-F238E27FC236}">
                  <a16:creationId xmlns:a16="http://schemas.microsoft.com/office/drawing/2014/main" id="{40D5E0A8-1540-1991-4450-AE8BB4C72B80}"/>
                </a:ext>
              </a:extLst>
            </xdr:cNvPr>
            <xdr:cNvPicPr>
              <a:picLocks noChangeAspect="1" noChangeArrowheads="1"/>
              <a:extLst>
                <a:ext uri="{84589F7E-364E-4C9E-8A38-B11213B215E9}">
                  <a14:cameraTool cellRange="dataset!#REF!" spid="_x0000_s2579"/>
                </a:ext>
              </a:extLst>
            </xdr:cNvPicPr>
          </xdr:nvPicPr>
          <xdr:blipFill>
            <a:blip xmlns:r="http://schemas.openxmlformats.org/officeDocument/2006/relationships" r:embed="rId6"/>
            <a:srcRect/>
            <a:stretch>
              <a:fillRect/>
            </a:stretch>
          </xdr:blipFill>
          <xdr:spPr bwMode="auto">
            <a:xfrm>
              <a:off x="2339340" y="2377440"/>
              <a:ext cx="1501140" cy="3352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a rani" refreshedDate="46194.964030439813" createdVersion="8" refreshedVersion="8" minRefreshableVersion="3" recordCount="801" xr:uid="{FEC1DADC-A6A2-47A5-B43F-5A365511AFB0}">
  <cacheSource type="worksheet">
    <worksheetSource ref="A1:K802" sheet="dataset"/>
  </cacheSource>
  <cacheFields count="11">
    <cacheField name="APID" numFmtId="0">
      <sharedItems containsBlank="1"/>
    </cacheField>
    <cacheField name="Vendor" numFmtId="0">
      <sharedItems containsBlank="1"/>
    </cacheField>
    <cacheField name="InvoiceDate" numFmtId="0">
      <sharedItems containsNonDate="0" containsDate="1" containsString="0" containsBlank="1" minDate="2023-01-01T00:00:00" maxDate="2025-07-01T00:00:00"/>
    </cacheField>
    <cacheField name="DueDate" numFmtId="0">
      <sharedItems containsNonDate="0" containsDate="1" containsString="0" containsBlank="1" minDate="2023-01-31T00:00:00" maxDate="2025-07-31T00:00:00"/>
    </cacheField>
    <cacheField name="Amount" numFmtId="1">
      <sharedItems containsSemiMixedTypes="0" containsString="0" containsNumber="1" minValue="104.02" maxValue="2087522.2899999993"/>
    </cacheField>
    <cacheField name="Currency" numFmtId="0">
      <sharedItems containsBlank="1"/>
    </cacheField>
    <cacheField name="Status" numFmtId="0">
      <sharedItems containsMixedTypes="1" containsNumber="1" containsInteger="1" minValue="267" maxValue="267"/>
    </cacheField>
    <cacheField name="PaidDate" numFmtId="0">
      <sharedItems containsDate="1" containsBlank="1" containsMixedTypes="1" minDate="2023-02-01T00:00:00" maxDate="2025-07-27T00:00:00"/>
    </cacheField>
    <cacheField name="Terms" numFmtId="0">
      <sharedItems containsBlank="1"/>
    </cacheField>
    <cacheField name="OVER DUE " numFmtId="0">
      <sharedItems containsString="0" containsBlank="1" containsNumber="1" containsInteger="1" minValue="326" maxValue="1237"/>
    </cacheField>
    <cacheField name="overdue status" numFmtId="0">
      <sharedItems containsBlank="1" count="3">
        <s v="Overdue"/>
        <s v="OK"/>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a rani" refreshedDate="46195.032949884262" createdVersion="8" refreshedVersion="8" minRefreshableVersion="3" recordCount="800" xr:uid="{2607970D-FBE1-48E8-83E2-EF522327534D}">
  <cacheSource type="worksheet">
    <worksheetSource ref="A1:I801" sheet="dataset"/>
  </cacheSource>
  <cacheFields count="12">
    <cacheField name="APID" numFmtId="0">
      <sharedItems/>
    </cacheField>
    <cacheField name="Vendor" numFmtId="0">
      <sharedItems count="5">
        <s v="BluePrints"/>
        <s v="Fast Travel"/>
        <s v="ABC Supplies"/>
        <s v="Global Office"/>
        <s v="TechMart"/>
      </sharedItems>
    </cacheField>
    <cacheField name="InvoiceDate" numFmtId="164">
      <sharedItems containsSemiMixedTypes="0" containsNonDate="0" containsDate="1" containsString="0" minDate="2023-01-01T00:00:00" maxDate="2025-07-01T00:00:00" count="552">
        <d v="2024-12-16T00:00:00"/>
        <d v="2024-05-18T00:00:00"/>
        <d v="2024-02-25T00:00:00"/>
        <d v="2024-01-08T00:00:00"/>
        <d v="2024-05-23T00:00:00"/>
        <d v="2024-07-09T00:00:00"/>
        <d v="2024-12-20T00:00:00"/>
        <d v="2024-09-25T00:00:00"/>
        <d v="2024-02-12T00:00:00"/>
        <d v="2024-06-27T00:00:00"/>
        <d v="2024-03-09T00:00:00"/>
        <d v="2024-10-10T00:00:00"/>
        <d v="2023-05-19T00:00:00"/>
        <d v="2023-11-19T00:00:00"/>
        <d v="2024-05-05T00:00:00"/>
        <d v="2023-06-04T00:00:00"/>
        <d v="2023-12-10T00:00:00"/>
        <d v="2024-12-30T00:00:00"/>
        <d v="2025-03-28T00:00:00"/>
        <d v="2023-07-14T00:00:00"/>
        <d v="2023-06-28T00:00:00"/>
        <d v="2024-12-27T00:00:00"/>
        <d v="2023-05-16T00:00:00"/>
        <d v="2023-09-30T00:00:00"/>
        <d v="2024-12-14T00:00:00"/>
        <d v="2023-07-17T00:00:00"/>
        <d v="2024-03-25T00:00:00"/>
        <d v="2024-10-28T00:00:00"/>
        <d v="2023-03-06T00:00:00"/>
        <d v="2024-02-13T00:00:00"/>
        <d v="2023-03-15T00:00:00"/>
        <d v="2023-10-11T00:00:00"/>
        <d v="2024-11-02T00:00:00"/>
        <d v="2025-01-11T00:00:00"/>
        <d v="2023-04-09T00:00:00"/>
        <d v="2023-07-21T00:00:00"/>
        <d v="2024-07-31T00:00:00"/>
        <d v="2023-01-08T00:00:00"/>
        <d v="2023-07-01T00:00:00"/>
        <d v="2025-05-24T00:00:00"/>
        <d v="2024-01-22T00:00:00"/>
        <d v="2023-02-10T00:00:00"/>
        <d v="2025-06-01T00:00:00"/>
        <d v="2023-06-25T00:00:00"/>
        <d v="2023-06-26T00:00:00"/>
        <d v="2025-01-25T00:00:00"/>
        <d v="2025-03-17T00:00:00"/>
        <d v="2023-09-28T00:00:00"/>
        <d v="2024-03-31T00:00:00"/>
        <d v="2023-04-23T00:00:00"/>
        <d v="2023-08-24T00:00:00"/>
        <d v="2023-05-09T00:00:00"/>
        <d v="2023-12-19T00:00:00"/>
        <d v="2023-11-08T00:00:00"/>
        <d v="2023-01-03T00:00:00"/>
        <d v="2024-06-19T00:00:00"/>
        <d v="2025-03-09T00:00:00"/>
        <d v="2024-05-28T00:00:00"/>
        <d v="2024-04-26T00:00:00"/>
        <d v="2023-02-24T00:00:00"/>
        <d v="2025-02-15T00:00:00"/>
        <d v="2024-04-22T00:00:00"/>
        <d v="2025-04-15T00:00:00"/>
        <d v="2025-02-09T00:00:00"/>
        <d v="2025-01-03T00:00:00"/>
        <d v="2024-07-24T00:00:00"/>
        <d v="2023-02-01T00:00:00"/>
        <d v="2024-12-03T00:00:00"/>
        <d v="2025-06-13T00:00:00"/>
        <d v="2024-11-01T00:00:00"/>
        <d v="2023-06-15T00:00:00"/>
        <d v="2023-09-18T00:00:00"/>
        <d v="2025-01-04T00:00:00"/>
        <d v="2023-05-22T00:00:00"/>
        <d v="2024-09-21T00:00:00"/>
        <d v="2024-04-19T00:00:00"/>
        <d v="2023-08-23T00:00:00"/>
        <d v="2025-06-03T00:00:00"/>
        <d v="2024-09-26T00:00:00"/>
        <d v="2024-06-15T00:00:00"/>
        <d v="2024-05-11T00:00:00"/>
        <d v="2023-06-05T00:00:00"/>
        <d v="2025-06-12T00:00:00"/>
        <d v="2023-07-04T00:00:00"/>
        <d v="2024-06-13T00:00:00"/>
        <d v="2025-03-21T00:00:00"/>
        <d v="2024-08-16T00:00:00"/>
        <d v="2024-04-21T00:00:00"/>
        <d v="2023-02-09T00:00:00"/>
        <d v="2023-05-25T00:00:00"/>
        <d v="2023-10-28T00:00:00"/>
        <d v="2023-06-11T00:00:00"/>
        <d v="2024-05-14T00:00:00"/>
        <d v="2024-05-30T00:00:00"/>
        <d v="2024-02-28T00:00:00"/>
        <d v="2024-10-03T00:00:00"/>
        <d v="2023-07-27T00:00:00"/>
        <d v="2024-09-19T00:00:00"/>
        <d v="2025-06-30T00:00:00"/>
        <d v="2024-08-29T00:00:00"/>
        <d v="2023-04-08T00:00:00"/>
        <d v="2024-09-17T00:00:00"/>
        <d v="2023-11-20T00:00:00"/>
        <d v="2024-02-17T00:00:00"/>
        <d v="2025-05-10T00:00:00"/>
        <d v="2024-11-25T00:00:00"/>
        <d v="2023-12-13T00:00:00"/>
        <d v="2023-04-12T00:00:00"/>
        <d v="2024-01-20T00:00:00"/>
        <d v="2024-11-29T00:00:00"/>
        <d v="2024-03-19T00:00:00"/>
        <d v="2023-09-24T00:00:00"/>
        <d v="2023-02-16T00:00:00"/>
        <d v="2023-08-14T00:00:00"/>
        <d v="2025-01-28T00:00:00"/>
        <d v="2024-04-30T00:00:00"/>
        <d v="2023-11-23T00:00:00"/>
        <d v="2025-03-13T00:00:00"/>
        <d v="2024-12-21T00:00:00"/>
        <d v="2023-10-05T00:00:00"/>
        <d v="2023-09-17T00:00:00"/>
        <d v="2023-01-14T00:00:00"/>
        <d v="2024-04-14T00:00:00"/>
        <d v="2023-06-14T00:00:00"/>
        <d v="2023-12-26T00:00:00"/>
        <d v="2025-05-05T00:00:00"/>
        <d v="2024-06-28T00:00:00"/>
        <d v="2024-03-14T00:00:00"/>
        <d v="2024-04-10T00:00:00"/>
        <d v="2024-12-05T00:00:00"/>
        <d v="2024-03-30T00:00:00"/>
        <d v="2023-12-05T00:00:00"/>
        <d v="2024-07-21T00:00:00"/>
        <d v="2023-09-05T00:00:00"/>
        <d v="2024-12-12T00:00:00"/>
        <d v="2024-04-18T00:00:00"/>
        <d v="2025-06-19T00:00:00"/>
        <d v="2023-05-28T00:00:00"/>
        <d v="2023-08-01T00:00:00"/>
        <d v="2024-06-24T00:00:00"/>
        <d v="2023-11-28T00:00:00"/>
        <d v="2023-08-16T00:00:00"/>
        <d v="2023-08-06T00:00:00"/>
        <d v="2024-04-08T00:00:00"/>
        <d v="2024-11-26T00:00:00"/>
        <d v="2023-03-05T00:00:00"/>
        <d v="2024-07-02T00:00:00"/>
        <d v="2024-02-23T00:00:00"/>
        <d v="2024-10-02T00:00:00"/>
        <d v="2023-04-28T00:00:00"/>
        <d v="2024-05-31T00:00:00"/>
        <d v="2025-03-18T00:00:00"/>
        <d v="2024-02-03T00:00:00"/>
        <d v="2024-10-21T00:00:00"/>
        <d v="2023-04-01T00:00:00"/>
        <d v="2024-09-14T00:00:00"/>
        <d v="2025-06-05T00:00:00"/>
        <d v="2024-12-11T00:00:00"/>
        <d v="2025-04-01T00:00:00"/>
        <d v="2023-04-27T00:00:00"/>
        <d v="2024-12-09T00:00:00"/>
        <d v="2024-11-09T00:00:00"/>
        <d v="2025-06-20T00:00:00"/>
        <d v="2023-11-11T00:00:00"/>
        <d v="2024-09-29T00:00:00"/>
        <d v="2024-06-10T00:00:00"/>
        <d v="2023-03-13T00:00:00"/>
        <d v="2025-02-05T00:00:00"/>
        <d v="2024-07-25T00:00:00"/>
        <d v="2025-04-16T00:00:00"/>
        <d v="2023-02-04T00:00:00"/>
        <d v="2025-06-22T00:00:00"/>
        <d v="2024-05-02T00:00:00"/>
        <d v="2024-04-17T00:00:00"/>
        <d v="2023-02-17T00:00:00"/>
        <d v="2025-02-22T00:00:00"/>
        <d v="2025-06-09T00:00:00"/>
        <d v="2023-05-30T00:00:00"/>
        <d v="2024-06-11T00:00:00"/>
        <d v="2025-03-07T00:00:00"/>
        <d v="2024-04-02T00:00:00"/>
        <d v="2023-09-21T00:00:00"/>
        <d v="2024-04-06T00:00:00"/>
        <d v="2024-03-21T00:00:00"/>
        <d v="2025-06-29T00:00:00"/>
        <d v="2023-11-02T00:00:00"/>
        <d v="2025-01-08T00:00:00"/>
        <d v="2025-03-11T00:00:00"/>
        <d v="2023-01-07T00:00:00"/>
        <d v="2025-05-28T00:00:00"/>
        <d v="2024-05-25T00:00:00"/>
        <d v="2024-06-02T00:00:00"/>
        <d v="2023-01-22T00:00:00"/>
        <d v="2024-06-17T00:00:00"/>
        <d v="2024-07-23T00:00:00"/>
        <d v="2025-02-16T00:00:00"/>
        <d v="2024-06-06T00:00:00"/>
        <d v="2024-07-18T00:00:00"/>
        <d v="2024-02-04T00:00:00"/>
        <d v="2023-07-02T00:00:00"/>
        <d v="2024-05-20T00:00:00"/>
        <d v="2023-11-21T00:00:00"/>
        <d v="2025-05-13T00:00:00"/>
        <d v="2025-02-23T00:00:00"/>
        <d v="2024-10-23T00:00:00"/>
        <d v="2025-01-31T00:00:00"/>
        <d v="2023-07-29T00:00:00"/>
        <d v="2024-01-28T00:00:00"/>
        <d v="2023-03-12T00:00:00"/>
        <d v="2024-08-19T00:00:00"/>
        <d v="2025-04-25T00:00:00"/>
        <d v="2023-04-24T00:00:00"/>
        <d v="2024-08-20T00:00:00"/>
        <d v="2024-01-24T00:00:00"/>
        <d v="2023-12-09T00:00:00"/>
        <d v="2023-01-12T00:00:00"/>
        <d v="2023-01-30T00:00:00"/>
        <d v="2024-03-11T00:00:00"/>
        <d v="2023-03-23T00:00:00"/>
        <d v="2024-07-01T00:00:00"/>
        <d v="2023-06-10T00:00:00"/>
        <d v="2024-11-22T00:00:00"/>
        <d v="2023-04-29T00:00:00"/>
        <d v="2023-10-04T00:00:00"/>
        <d v="2024-07-30T00:00:00"/>
        <d v="2025-02-24T00:00:00"/>
        <d v="2023-05-29T00:00:00"/>
        <d v="2025-05-15T00:00:00"/>
        <d v="2024-03-22T00:00:00"/>
        <d v="2023-03-14T00:00:00"/>
        <d v="2023-06-09T00:00:00"/>
        <d v="2025-06-07T00:00:00"/>
        <d v="2025-02-07T00:00:00"/>
        <d v="2023-01-23T00:00:00"/>
        <d v="2023-11-07T00:00:00"/>
        <d v="2023-08-28T00:00:00"/>
        <d v="2024-01-25T00:00:00"/>
        <d v="2023-06-12T00:00:00"/>
        <d v="2025-01-29T00:00:00"/>
        <d v="2023-10-10T00:00:00"/>
        <d v="2023-06-17T00:00:00"/>
        <d v="2024-09-10T00:00:00"/>
        <d v="2025-06-26T00:00:00"/>
        <d v="2023-11-12T00:00:00"/>
        <d v="2024-01-31T00:00:00"/>
        <d v="2024-02-10T00:00:00"/>
        <d v="2024-07-05T00:00:00"/>
        <d v="2024-08-09T00:00:00"/>
        <d v="2024-07-14T00:00:00"/>
        <d v="2023-05-11T00:00:00"/>
        <d v="2025-04-06T00:00:00"/>
        <d v="2024-11-10T00:00:00"/>
        <d v="2024-10-16T00:00:00"/>
        <d v="2025-04-05T00:00:00"/>
        <d v="2024-01-11T00:00:00"/>
        <d v="2023-10-26T00:00:00"/>
        <d v="2024-09-24T00:00:00"/>
        <d v="2023-03-16T00:00:00"/>
        <d v="2025-03-25T00:00:00"/>
        <d v="2023-08-04T00:00:00"/>
        <d v="2024-06-14T00:00:00"/>
        <d v="2024-11-21T00:00:00"/>
        <d v="2023-12-25T00:00:00"/>
        <d v="2023-10-07T00:00:00"/>
        <d v="2023-05-23T00:00:00"/>
        <d v="2025-04-26T00:00:00"/>
        <d v="2025-06-11T00:00:00"/>
        <d v="2025-06-25T00:00:00"/>
        <d v="2025-03-01T00:00:00"/>
        <d v="2023-04-19T00:00:00"/>
        <d v="2023-11-26T00:00:00"/>
        <d v="2025-01-22T00:00:00"/>
        <d v="2024-01-29T00:00:00"/>
        <d v="2024-10-11T00:00:00"/>
        <d v="2023-03-08T00:00:00"/>
        <d v="2024-06-22T00:00:00"/>
        <d v="2025-03-06T00:00:00"/>
        <d v="2024-08-07T00:00:00"/>
        <d v="2025-02-19T00:00:00"/>
        <d v="2024-04-09T00:00:00"/>
        <d v="2023-02-22T00:00:00"/>
        <d v="2023-01-02T00:00:00"/>
        <d v="2024-04-05T00:00:00"/>
        <d v="2024-08-24T00:00:00"/>
        <d v="2023-03-29T00:00:00"/>
        <d v="2023-05-08T00:00:00"/>
        <d v="2024-12-17T00:00:00"/>
        <d v="2024-04-13T00:00:00"/>
        <d v="2024-12-07T00:00:00"/>
        <d v="2025-02-17T00:00:00"/>
        <d v="2024-01-30T00:00:00"/>
        <d v="2025-03-20T00:00:00"/>
        <d v="2023-12-08T00:00:00"/>
        <d v="2025-06-02T00:00:00"/>
        <d v="2023-11-05T00:00:00"/>
        <d v="2023-12-22T00:00:00"/>
        <d v="2025-01-15T00:00:00"/>
        <d v="2025-06-23T00:00:00"/>
        <d v="2024-03-07T00:00:00"/>
        <d v="2023-01-11T00:00:00"/>
        <d v="2023-08-31T00:00:00"/>
        <d v="2023-02-05T00:00:00"/>
        <d v="2024-06-09T00:00:00"/>
        <d v="2023-12-21T00:00:00"/>
        <d v="2025-03-19T00:00:00"/>
        <d v="2023-04-11T00:00:00"/>
        <d v="2025-05-20T00:00:00"/>
        <d v="2023-08-22T00:00:00"/>
        <d v="2024-01-07T00:00:00"/>
        <d v="2024-01-16T00:00:00"/>
        <d v="2024-01-15T00:00:00"/>
        <d v="2025-04-09T00:00:00"/>
        <d v="2024-07-22T00:00:00"/>
        <d v="2024-04-29T00:00:00"/>
        <d v="2025-03-15T00:00:00"/>
        <d v="2023-03-20T00:00:00"/>
        <d v="2023-12-30T00:00:00"/>
        <d v="2025-05-11T00:00:00"/>
        <d v="2023-05-20T00:00:00"/>
        <d v="2023-08-30T00:00:00"/>
        <d v="2023-11-03T00:00:00"/>
        <d v="2023-07-22T00:00:00"/>
        <d v="2024-08-17T00:00:00"/>
        <d v="2023-09-01T00:00:00"/>
        <d v="2024-03-12T00:00:00"/>
        <d v="2024-02-07T00:00:00"/>
        <d v="2023-12-24T00:00:00"/>
        <d v="2023-01-04T00:00:00"/>
        <d v="2024-11-20T00:00:00"/>
        <d v="2024-07-07T00:00:00"/>
        <d v="2023-12-12T00:00:00"/>
        <d v="2024-05-24T00:00:00"/>
        <d v="2024-06-21T00:00:00"/>
        <d v="2024-01-17T00:00:00"/>
        <d v="2024-09-06T00:00:00"/>
        <d v="2023-03-27T00:00:00"/>
        <d v="2025-04-29T00:00:00"/>
        <d v="2023-08-07T00:00:00"/>
        <d v="2025-04-10T00:00:00"/>
        <d v="2024-10-12T00:00:00"/>
        <d v="2025-04-28T00:00:00"/>
        <d v="2025-04-22T00:00:00"/>
        <d v="2023-06-01T00:00:00"/>
        <d v="2023-11-30T00:00:00"/>
        <d v="2023-02-12T00:00:00"/>
        <d v="2023-07-24T00:00:00"/>
        <d v="2023-05-31T00:00:00"/>
        <d v="2025-01-13T00:00:00"/>
        <d v="2023-12-16T00:00:00"/>
        <d v="2024-02-20T00:00:00"/>
        <d v="2023-05-15T00:00:00"/>
        <d v="2023-07-08T00:00:00"/>
        <d v="2023-09-10T00:00:00"/>
        <d v="2024-12-15T00:00:00"/>
        <d v="2024-06-04T00:00:00"/>
        <d v="2023-10-20T00:00:00"/>
        <d v="2024-10-08T00:00:00"/>
        <d v="2025-02-11T00:00:00"/>
        <d v="2023-03-31T00:00:00"/>
        <d v="2023-09-12T00:00:00"/>
        <d v="2023-02-07T00:00:00"/>
        <d v="2024-03-10T00:00:00"/>
        <d v="2023-05-17T00:00:00"/>
        <d v="2023-03-22T00:00:00"/>
        <d v="2023-11-04T00:00:00"/>
        <d v="2023-05-26T00:00:00"/>
        <d v="2023-12-04T00:00:00"/>
        <d v="2024-10-06T00:00:00"/>
        <d v="2024-01-26T00:00:00"/>
        <d v="2024-12-22T00:00:00"/>
        <d v="2025-02-12T00:00:00"/>
        <d v="2024-04-15T00:00:00"/>
        <d v="2023-09-29T00:00:00"/>
        <d v="2025-05-02T00:00:00"/>
        <d v="2024-11-03T00:00:00"/>
        <d v="2023-02-26T00:00:00"/>
        <d v="2024-11-28T00:00:00"/>
        <d v="2024-03-23T00:00:00"/>
        <d v="2024-10-09T00:00:00"/>
        <d v="2025-05-12T00:00:00"/>
        <d v="2024-11-23T00:00:00"/>
        <d v="2023-11-24T00:00:00"/>
        <d v="2023-12-02T00:00:00"/>
        <d v="2024-02-02T00:00:00"/>
        <d v="2023-10-30T00:00:00"/>
        <d v="2023-06-29T00:00:00"/>
        <d v="2023-09-16T00:00:00"/>
        <d v="2023-06-22T00:00:00"/>
        <d v="2025-01-27T00:00:00"/>
        <d v="2025-06-15T00:00:00"/>
        <d v="2023-09-23T00:00:00"/>
        <d v="2024-02-24T00:00:00"/>
        <d v="2023-02-14T00:00:00"/>
        <d v="2024-05-21T00:00:00"/>
        <d v="2024-08-18T00:00:00"/>
        <d v="2023-12-28T00:00:00"/>
        <d v="2024-02-05T00:00:00"/>
        <d v="2025-01-23T00:00:00"/>
        <d v="2024-10-19T00:00:00"/>
        <d v="2024-09-20T00:00:00"/>
        <d v="2025-04-14T00:00:00"/>
        <d v="2025-04-30T00:00:00"/>
        <d v="2025-05-09T00:00:00"/>
        <d v="2024-06-29T00:00:00"/>
        <d v="2023-03-17T00:00:00"/>
        <d v="2023-07-11T00:00:00"/>
        <d v="2023-09-27T00:00:00"/>
        <d v="2024-06-03T00:00:00"/>
        <d v="2023-12-31T00:00:00"/>
        <d v="2024-09-03T00:00:00"/>
        <d v="2023-09-04T00:00:00"/>
        <d v="2025-06-17T00:00:00"/>
        <d v="2025-01-14T00:00:00"/>
        <d v="2024-02-26T00:00:00"/>
        <d v="2024-10-31T00:00:00"/>
        <d v="2024-09-04T00:00:00"/>
        <d v="2024-09-23T00:00:00"/>
        <d v="2025-03-02T00:00:00"/>
        <d v="2025-06-18T00:00:00"/>
        <d v="2025-02-02T00:00:00"/>
        <d v="2024-08-12T00:00:00"/>
        <d v="2023-08-08T00:00:00"/>
        <d v="2024-09-07T00:00:00"/>
        <d v="2024-04-01T00:00:00"/>
        <d v="2024-07-27T00:00:00"/>
        <d v="2023-01-21T00:00:00"/>
        <d v="2023-01-15T00:00:00"/>
        <d v="2023-07-15T00:00:00"/>
        <d v="2025-06-10T00:00:00"/>
        <d v="2024-07-03T00:00:00"/>
        <d v="2023-06-19T00:00:00"/>
        <d v="2025-06-04T00:00:00"/>
        <d v="2024-12-18T00:00:00"/>
        <d v="2023-06-03T00:00:00"/>
        <d v="2025-03-22T00:00:00"/>
        <d v="2024-09-02T00:00:00"/>
        <d v="2024-11-27T00:00:00"/>
        <d v="2024-05-26T00:00:00"/>
        <d v="2023-01-25T00:00:00"/>
        <d v="2023-07-13T00:00:00"/>
        <d v="2023-09-13T00:00:00"/>
        <d v="2024-10-22T00:00:00"/>
        <d v="2023-05-24T00:00:00"/>
        <d v="2024-06-18T00:00:00"/>
        <d v="2024-06-12T00:00:00"/>
        <d v="2023-12-27T00:00:00"/>
        <d v="2023-03-07T00:00:00"/>
        <d v="2024-02-27T00:00:00"/>
        <d v="2024-03-03T00:00:00"/>
        <d v="2025-04-02T00:00:00"/>
        <d v="2023-01-27T00:00:00"/>
        <d v="2023-08-25T00:00:00"/>
        <d v="2023-10-31T00:00:00"/>
        <d v="2024-08-06T00:00:00"/>
        <d v="2023-11-15T00:00:00"/>
        <d v="2023-10-21T00:00:00"/>
        <d v="2024-05-08T00:00:00"/>
        <d v="2023-10-24T00:00:00"/>
        <d v="2023-12-17T00:00:00"/>
        <d v="2023-03-19T00:00:00"/>
        <d v="2025-05-17T00:00:00"/>
        <d v="2023-03-03T00:00:00"/>
        <d v="2023-02-19T00:00:00"/>
        <d v="2023-06-08T00:00:00"/>
        <d v="2023-01-17T00:00:00"/>
        <d v="2023-12-18T00:00:00"/>
        <d v="2024-11-11T00:00:00"/>
        <d v="2024-10-26T00:00:00"/>
        <d v="2023-01-01T00:00:00"/>
        <d v="2024-11-08T00:00:00"/>
        <d v="2025-01-26T00:00:00"/>
        <d v="2025-05-22T00:00:00"/>
        <d v="2024-05-09T00:00:00"/>
        <d v="2023-03-02T00:00:00"/>
        <d v="2025-06-28T00:00:00"/>
        <d v="2023-02-15T00:00:00"/>
        <d v="2024-12-24T00:00:00"/>
        <d v="2024-05-07T00:00:00"/>
        <d v="2025-05-04T00:00:00"/>
        <d v="2023-09-02T00:00:00"/>
        <d v="2023-11-06T00:00:00"/>
        <d v="2023-07-18T00:00:00"/>
        <d v="2023-04-13T00:00:00"/>
        <d v="2024-11-13T00:00:00"/>
        <d v="2023-07-06T00:00:00"/>
        <d v="2023-06-06T00:00:00"/>
        <d v="2023-12-11T00:00:00"/>
        <d v="2023-10-02T00:00:00"/>
        <d v="2025-02-04T00:00:00"/>
        <d v="2024-01-14T00:00:00"/>
        <d v="2025-06-16T00:00:00"/>
        <d v="2023-10-14T00:00:00"/>
        <d v="2023-06-02T00:00:00"/>
        <d v="2025-04-13T00:00:00"/>
        <d v="2023-01-29T00:00:00"/>
        <d v="2024-05-29T00:00:00"/>
        <d v="2024-08-10T00:00:00"/>
        <d v="2023-08-12T00:00:00"/>
        <d v="2025-03-30T00:00:00"/>
        <d v="2023-04-07T00:00:00"/>
        <d v="2024-01-01T00:00:00"/>
        <d v="2023-11-29T00:00:00"/>
        <d v="2024-06-01T00:00:00"/>
        <d v="2023-09-09T00:00:00"/>
        <d v="2023-03-21T00:00:00"/>
        <d v="2024-06-16T00:00:00"/>
        <d v="2024-12-01T00:00:00"/>
        <d v="2025-04-23T00:00:00"/>
        <d v="2023-12-15T00:00:00"/>
        <d v="2023-03-01T00:00:00"/>
        <d v="2023-08-20T00:00:00"/>
        <d v="2025-02-10T00:00:00"/>
        <d v="2023-11-16T00:00:00"/>
        <d v="2024-11-19T00:00:00"/>
        <d v="2024-02-14T00:00:00"/>
        <d v="2024-07-11T00:00:00"/>
        <d v="2023-03-04T00:00:00"/>
        <d v="2024-09-27T00:00:00"/>
        <d v="2023-07-23T00:00:00"/>
        <d v="2024-11-07T00:00:00"/>
        <d v="2023-07-20T00:00:00"/>
        <d v="2023-11-09T00:00:00"/>
        <d v="2024-01-12T00:00:00"/>
        <d v="2025-05-27T00:00:00"/>
        <d v="2025-02-21T00:00:00"/>
        <d v="2023-09-14T00:00:00"/>
        <d v="2023-10-23T00:00:00"/>
        <d v="2024-03-08T00:00:00"/>
        <d v="2023-12-23T00:00:00"/>
        <d v="2023-09-25T00:00:00"/>
        <d v="2024-07-15T00:00:00"/>
        <d v="2024-08-31T00:00:00"/>
        <d v="2024-11-17T00:00:00"/>
        <d v="2024-01-10T00:00:00"/>
        <d v="2024-02-18T00:00:00"/>
        <d v="2024-04-03T00:00:00"/>
        <d v="2023-08-10T00:00:00"/>
        <d v="2023-12-03T00:00:00"/>
        <d v="2025-01-02T00:00:00"/>
        <d v="2024-08-01T00:00:00"/>
        <d v="2025-02-28T00:00:00"/>
        <d v="2024-11-12T00:00:00"/>
        <d v="2023-11-01T00:00:00"/>
        <d v="2023-07-19T00:00:00"/>
        <d v="2025-04-21T00:00:00"/>
        <d v="2025-04-07T00:00:00"/>
        <d v="2025-01-30T00:00:00"/>
        <d v="2024-09-16T00:00:00"/>
        <d v="2023-02-18T00:00:00"/>
        <d v="2023-02-21T00:00:00"/>
        <d v="2024-09-08T00:00:00"/>
        <d v="2025-03-16T00:00:00"/>
      </sharedItems>
      <fieldGroup par="11"/>
    </cacheField>
    <cacheField name="DueDate" numFmtId="164">
      <sharedItems containsSemiMixedTypes="0" containsNonDate="0" containsDate="1" containsString="0" minDate="2023-01-31T00:00:00" maxDate="2025-07-31T00:00:00"/>
    </cacheField>
    <cacheField name="Amount" numFmtId="1">
      <sharedItems containsSemiMixedTypes="0" containsString="0" containsNumber="1" minValue="104.02" maxValue="4995.3900000000003"/>
    </cacheField>
    <cacheField name="Currency" numFmtId="0">
      <sharedItems count="5">
        <s v="EUR"/>
        <s v="CAD"/>
        <s v="GBP"/>
        <s v="USD"/>
        <s v="AUD"/>
      </sharedItems>
    </cacheField>
    <cacheField name="Status" numFmtId="0">
      <sharedItems count="3">
        <s v="Open"/>
        <s v="Partial"/>
        <s v="Paid"/>
      </sharedItems>
    </cacheField>
    <cacheField name="PaidDate" numFmtId="0">
      <sharedItems containsDate="1" containsBlank="1" containsMixedTypes="1" minDate="2023-02-01T00:00:00" maxDate="2025-07-27T00:00:00"/>
    </cacheField>
    <cacheField name="Terms" numFmtId="0">
      <sharedItems count="2">
        <s v="Net 30"/>
        <s v="NA"/>
      </sharedItems>
    </cacheField>
    <cacheField name="Months (Invoic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Quarters (InvoiceDate)" numFmtId="0" databaseField="0">
      <fieldGroup base="2">
        <rangePr groupBy="quarters" startDate="2023-01-01T00:00:00" endDate="2025-07-01T00:00:00"/>
        <groupItems count="6">
          <s v="&lt;01-01-2023"/>
          <s v="Qtr1"/>
          <s v="Qtr2"/>
          <s v="Qtr3"/>
          <s v="Qtr4"/>
          <s v="&gt;01-07-2025"/>
        </groupItems>
      </fieldGroup>
    </cacheField>
    <cacheField name="Years (Invoic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46425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s v="AP10000"/>
    <s v="BluePrints"/>
    <d v="2024-12-16T00:00:00"/>
    <d v="2025-01-15T00:00:00"/>
    <n v="344.25"/>
    <s v="EUR"/>
    <s v="Open"/>
    <s v="NA"/>
    <s v="Net 30"/>
    <n v="522"/>
    <x v="0"/>
  </r>
  <r>
    <s v="AP10001"/>
    <s v="BluePrints"/>
    <d v="2024-05-18T00:00:00"/>
    <d v="2024-06-17T00:00:00"/>
    <n v="3298.38"/>
    <s v="CAD"/>
    <s v="Partial"/>
    <s v="NA"/>
    <s v="Net 30"/>
    <n v="734"/>
    <x v="0"/>
  </r>
  <r>
    <s v="AP10002"/>
    <s v="Fast Travel"/>
    <d v="2024-02-25T00:00:00"/>
    <d v="2024-03-26T00:00:00"/>
    <n v="1023.43"/>
    <s v="GBP"/>
    <s v="Open"/>
    <s v="NA"/>
    <s v="Net 30"/>
    <n v="817"/>
    <x v="0"/>
  </r>
  <r>
    <s v="AP10003"/>
    <s v="ABC Supplies"/>
    <d v="2024-01-08T00:00:00"/>
    <d v="2024-02-07T00:00:00"/>
    <n v="4433.05"/>
    <s v="USD"/>
    <s v="Partial"/>
    <s v="NA"/>
    <s v="Net 30"/>
    <n v="865"/>
    <x v="0"/>
  </r>
  <r>
    <s v="AP10004"/>
    <s v="ABC Supplies"/>
    <d v="2024-05-23T00:00:00"/>
    <d v="2024-06-22T00:00:00"/>
    <n v="4345.1400000000003"/>
    <s v="GBP"/>
    <s v="Partial"/>
    <s v="NA"/>
    <s v="Net 30"/>
    <n v="729"/>
    <x v="0"/>
  </r>
  <r>
    <s v="AP10005"/>
    <s v="Fast Travel"/>
    <d v="2024-07-09T00:00:00"/>
    <d v="2024-08-08T00:00:00"/>
    <n v="1599.18"/>
    <s v="AUD"/>
    <s v="Open"/>
    <s v="NA"/>
    <s v="Net 30"/>
    <n v="682"/>
    <x v="0"/>
  </r>
  <r>
    <s v="AP10006"/>
    <s v="BluePrints"/>
    <d v="2024-12-20T00:00:00"/>
    <d v="2025-01-19T00:00:00"/>
    <n v="894.13"/>
    <s v="USD"/>
    <s v="Open"/>
    <s v="NA"/>
    <s v="Net 30"/>
    <n v="518"/>
    <x v="0"/>
  </r>
  <r>
    <s v="AP10007"/>
    <s v="Fast Travel"/>
    <d v="2024-09-25T00:00:00"/>
    <d v="2024-10-25T00:00:00"/>
    <n v="1303.06"/>
    <s v="GBP"/>
    <s v="Paid"/>
    <d v="2024-10-25T00:00:00"/>
    <s v="Net 30"/>
    <n v="604"/>
    <x v="1"/>
  </r>
  <r>
    <s v="AP10008"/>
    <s v="ABC Supplies"/>
    <d v="2024-02-12T00:00:00"/>
    <d v="2024-03-13T00:00:00"/>
    <n v="3481.8"/>
    <s v="CAD"/>
    <s v="Paid"/>
    <d v="2024-03-13T00:00:00"/>
    <s v="Net 30"/>
    <n v="830"/>
    <x v="1"/>
  </r>
  <r>
    <s v="AP10009"/>
    <s v="ABC Supplies"/>
    <d v="2024-06-27T00:00:00"/>
    <d v="2024-07-27T00:00:00"/>
    <n v="217.97"/>
    <s v="USD"/>
    <s v="Open"/>
    <s v="NA"/>
    <s v="Net 30"/>
    <n v="694"/>
    <x v="0"/>
  </r>
  <r>
    <s v="AP10010"/>
    <s v="BluePrints"/>
    <d v="2024-03-09T00:00:00"/>
    <d v="2024-04-08T00:00:00"/>
    <n v="1809.07"/>
    <s v="EUR"/>
    <s v="Partial"/>
    <s v="NA"/>
    <s v="Net 30"/>
    <n v="804"/>
    <x v="0"/>
  </r>
  <r>
    <s v="AP10011"/>
    <s v="BluePrints"/>
    <d v="2024-10-10T00:00:00"/>
    <d v="2024-11-09T00:00:00"/>
    <n v="884.1"/>
    <s v="USD"/>
    <s v="Open"/>
    <s v="NA"/>
    <s v="Net 30"/>
    <n v="589"/>
    <x v="0"/>
  </r>
  <r>
    <s v="AP10012"/>
    <s v="ABC Supplies"/>
    <d v="2023-05-19T00:00:00"/>
    <d v="2023-06-18T00:00:00"/>
    <n v="1491.7"/>
    <s v="GBP"/>
    <s v="Open"/>
    <s v="NA"/>
    <s v="Net 30"/>
    <n v="1099"/>
    <x v="0"/>
  </r>
  <r>
    <s v="AP10013"/>
    <s v="ABC Supplies"/>
    <d v="2023-11-19T00:00:00"/>
    <d v="2023-12-19T00:00:00"/>
    <n v="4212.17"/>
    <s v="AUD"/>
    <s v="Paid"/>
    <d v="2023-12-19T00:00:00"/>
    <s v="Net 30"/>
    <n v="915"/>
    <x v="1"/>
  </r>
  <r>
    <s v="AP10014"/>
    <s v="BluePrints"/>
    <d v="2024-05-05T00:00:00"/>
    <d v="2024-06-04T00:00:00"/>
    <n v="1632.82"/>
    <s v="GBP"/>
    <s v="Open"/>
    <s v="NA"/>
    <s v="Net 30"/>
    <n v="747"/>
    <x v="0"/>
  </r>
  <r>
    <s v="AP10015"/>
    <s v="BluePrints"/>
    <d v="2023-06-04T00:00:00"/>
    <d v="2023-07-04T00:00:00"/>
    <n v="1887.67"/>
    <s v="EUR"/>
    <s v="Paid"/>
    <d v="2023-07-04T00:00:00"/>
    <s v="Net 30"/>
    <n v="1083"/>
    <x v="1"/>
  </r>
  <r>
    <s v="AP10016"/>
    <s v="BluePrints"/>
    <d v="2023-12-10T00:00:00"/>
    <d v="2024-01-09T00:00:00"/>
    <n v="1721.41"/>
    <s v="GBP"/>
    <s v="Open"/>
    <s v="NA"/>
    <s v="Net 30"/>
    <n v="894"/>
    <x v="0"/>
  </r>
  <r>
    <s v="AP10017"/>
    <s v="Global Office"/>
    <d v="2024-12-30T00:00:00"/>
    <d v="2025-01-29T00:00:00"/>
    <n v="2941.63"/>
    <s v="USD"/>
    <s v="Open"/>
    <s v="NA"/>
    <s v="Net 30"/>
    <n v="508"/>
    <x v="0"/>
  </r>
  <r>
    <s v="AP10018"/>
    <s v="Fast Travel"/>
    <d v="2024-06-27T00:00:00"/>
    <d v="2024-07-27T00:00:00"/>
    <n v="889.44"/>
    <s v="USD"/>
    <s v="Paid"/>
    <d v="2024-07-27T00:00:00"/>
    <s v="Net 30"/>
    <n v="694"/>
    <x v="1"/>
  </r>
  <r>
    <s v="AP10019"/>
    <s v="Fast Travel"/>
    <d v="2025-03-28T00:00:00"/>
    <d v="2025-04-27T00:00:00"/>
    <n v="1539.53"/>
    <s v="AUD"/>
    <s v="Partial"/>
    <s v="NA"/>
    <s v="Net 30"/>
    <n v="420"/>
    <x v="0"/>
  </r>
  <r>
    <s v="AP10020"/>
    <s v="TechMart"/>
    <d v="2023-07-14T00:00:00"/>
    <d v="2023-08-13T00:00:00"/>
    <n v="996.27"/>
    <s v="AUD"/>
    <s v="Open"/>
    <s v="NA"/>
    <s v="Net 30"/>
    <n v="1043"/>
    <x v="0"/>
  </r>
  <r>
    <s v="AP10021"/>
    <s v="TechMart"/>
    <d v="2023-06-28T00:00:00"/>
    <d v="2023-07-28T00:00:00"/>
    <n v="2450.1"/>
    <s v="CAD"/>
    <s v="Partial"/>
    <s v="NA"/>
    <s v="Net 30"/>
    <n v="1059"/>
    <x v="0"/>
  </r>
  <r>
    <s v="AP10022"/>
    <s v="Global Office"/>
    <d v="2024-12-27T00:00:00"/>
    <d v="2025-01-26T00:00:00"/>
    <n v="797.8"/>
    <s v="CAD"/>
    <s v="Open"/>
    <s v="NA"/>
    <s v="Net 30"/>
    <n v="511"/>
    <x v="0"/>
  </r>
  <r>
    <s v="AP10023"/>
    <s v="BluePrints"/>
    <d v="2023-05-16T00:00:00"/>
    <d v="2023-06-15T00:00:00"/>
    <n v="4237.6499999999996"/>
    <s v="GBP"/>
    <s v="Partial"/>
    <s v="NA"/>
    <s v="Net 30"/>
    <n v="1102"/>
    <x v="0"/>
  </r>
  <r>
    <s v="AP10024"/>
    <s v="Global Office"/>
    <d v="2023-09-30T00:00:00"/>
    <d v="2023-10-30T00:00:00"/>
    <n v="665.06"/>
    <s v="AUD"/>
    <s v="Open"/>
    <s v="NA"/>
    <s v="Net 30"/>
    <n v="965"/>
    <x v="0"/>
  </r>
  <r>
    <s v="AP10025"/>
    <s v="Global Office"/>
    <d v="2024-12-14T00:00:00"/>
    <d v="2025-01-13T00:00:00"/>
    <n v="3849.16"/>
    <s v="GBP"/>
    <s v="Partial"/>
    <s v="NA"/>
    <s v="Net 30"/>
    <n v="524"/>
    <x v="0"/>
  </r>
  <r>
    <s v="AP10026"/>
    <s v="BluePrints"/>
    <d v="2023-07-17T00:00:00"/>
    <d v="2023-08-16T00:00:00"/>
    <n v="4411.88"/>
    <s v="CAD"/>
    <s v="Paid"/>
    <d v="2023-08-16T00:00:00"/>
    <s v="Net 30"/>
    <n v="1040"/>
    <x v="1"/>
  </r>
  <r>
    <s v="AP10027"/>
    <s v="Fast Travel"/>
    <d v="2024-03-25T00:00:00"/>
    <d v="2024-04-24T00:00:00"/>
    <n v="296.64999999999998"/>
    <s v="USD"/>
    <s v="Paid"/>
    <d v="2024-04-24T00:00:00"/>
    <s v="Net 30"/>
    <n v="788"/>
    <x v="1"/>
  </r>
  <r>
    <s v="AP10028"/>
    <s v="TechMart"/>
    <d v="2024-10-28T00:00:00"/>
    <d v="2024-11-27T00:00:00"/>
    <n v="3099.8"/>
    <s v="GBP"/>
    <s v="Open"/>
    <s v="NA"/>
    <s v="Net 30"/>
    <n v="571"/>
    <x v="0"/>
  </r>
  <r>
    <s v="AP10029"/>
    <s v="Global Office"/>
    <d v="2023-03-06T00:00:00"/>
    <d v="2023-04-05T00:00:00"/>
    <n v="4007.29"/>
    <s v="CAD"/>
    <s v="Open"/>
    <s v="NA"/>
    <s v="Net 30"/>
    <n v="1173"/>
    <x v="0"/>
  </r>
  <r>
    <s v="AP10030"/>
    <s v="Fast Travel"/>
    <d v="2024-02-13T00:00:00"/>
    <d v="2024-03-14T00:00:00"/>
    <n v="2884.32"/>
    <s v="CAD"/>
    <s v="Partial"/>
    <s v="NA"/>
    <s v="Net 30"/>
    <n v="829"/>
    <x v="0"/>
  </r>
  <r>
    <s v="AP10031"/>
    <s v="Fast Travel"/>
    <d v="2023-03-15T00:00:00"/>
    <d v="2023-04-14T00:00:00"/>
    <n v="4830.24"/>
    <s v="EUR"/>
    <s v="Paid"/>
    <d v="2023-04-14T00:00:00"/>
    <s v="Net 30"/>
    <n v="1164"/>
    <x v="1"/>
  </r>
  <r>
    <s v="AP10032"/>
    <s v="Global Office"/>
    <d v="2023-10-11T00:00:00"/>
    <d v="2023-11-10T00:00:00"/>
    <n v="4841.22"/>
    <s v="USD"/>
    <s v="Paid"/>
    <d v="2023-11-10T00:00:00"/>
    <s v="Net 30"/>
    <n v="954"/>
    <x v="1"/>
  </r>
  <r>
    <s v="AP10033"/>
    <s v="ABC Supplies"/>
    <d v="2024-11-02T00:00:00"/>
    <d v="2024-12-02T00:00:00"/>
    <n v="3601.17"/>
    <s v="AUD"/>
    <s v="Open"/>
    <s v="NA"/>
    <s v="Net 30"/>
    <n v="566"/>
    <x v="0"/>
  </r>
  <r>
    <s v="AP10034"/>
    <s v="Fast Travel"/>
    <d v="2025-01-11T00:00:00"/>
    <d v="2025-02-10T00:00:00"/>
    <n v="3913.65"/>
    <s v="GBP"/>
    <s v="Paid"/>
    <d v="2025-02-10T00:00:00"/>
    <s v="Net 30"/>
    <n v="496"/>
    <x v="1"/>
  </r>
  <r>
    <s v="AP10035"/>
    <s v="ABC Supplies"/>
    <d v="2023-04-09T00:00:00"/>
    <d v="2023-05-09T00:00:00"/>
    <n v="1117.52"/>
    <s v="CAD"/>
    <s v="Open"/>
    <s v="NA"/>
    <s v="Net 30"/>
    <n v="1139"/>
    <x v="0"/>
  </r>
  <r>
    <s v="AP10036"/>
    <s v="BluePrints"/>
    <d v="2023-07-21T00:00:00"/>
    <d v="2023-08-20T00:00:00"/>
    <n v="4178.2"/>
    <s v="CAD"/>
    <s v="Partial"/>
    <s v="NA"/>
    <s v="Net 30"/>
    <n v="1036"/>
    <x v="0"/>
  </r>
  <r>
    <s v="AP10037"/>
    <s v="Global Office"/>
    <d v="2024-07-31T00:00:00"/>
    <d v="2024-08-30T00:00:00"/>
    <n v="504.02"/>
    <s v="USD"/>
    <s v="Partial"/>
    <s v="NA"/>
    <s v="Net 30"/>
    <n v="660"/>
    <x v="0"/>
  </r>
  <r>
    <s v="AP10038"/>
    <s v="BluePrints"/>
    <d v="2023-01-08T00:00:00"/>
    <d v="2023-02-07T00:00:00"/>
    <n v="3156.05"/>
    <s v="GBP"/>
    <s v="Open"/>
    <s v="NA"/>
    <s v="Net 30"/>
    <n v="1230"/>
    <x v="0"/>
  </r>
  <r>
    <s v="AP10039"/>
    <s v="Global Office"/>
    <d v="2023-07-01T00:00:00"/>
    <d v="2023-07-31T00:00:00"/>
    <n v="3284.77"/>
    <s v="EUR"/>
    <s v="Partial"/>
    <s v="NA"/>
    <s v="Net 30"/>
    <n v="1056"/>
    <x v="0"/>
  </r>
  <r>
    <s v="AP10040"/>
    <s v="Global Office"/>
    <d v="2025-05-24T00:00:00"/>
    <d v="2025-06-23T00:00:00"/>
    <n v="4519.76"/>
    <s v="USD"/>
    <s v="Open"/>
    <s v="NA"/>
    <s v="Net 30"/>
    <n v="363"/>
    <x v="0"/>
  </r>
  <r>
    <s v="AP10041"/>
    <s v="BluePrints"/>
    <d v="2024-01-22T00:00:00"/>
    <d v="2024-02-21T00:00:00"/>
    <n v="4094.28"/>
    <s v="EUR"/>
    <s v="Partial"/>
    <s v="NA"/>
    <s v="Net 30"/>
    <n v="851"/>
    <x v="0"/>
  </r>
  <r>
    <s v="AP10042"/>
    <s v="BluePrints"/>
    <d v="2023-02-10T00:00:00"/>
    <d v="2023-03-12T00:00:00"/>
    <n v="3097.79"/>
    <s v="EUR"/>
    <s v="Paid"/>
    <d v="2023-03-12T00:00:00"/>
    <s v="Net 30"/>
    <n v="1197"/>
    <x v="1"/>
  </r>
  <r>
    <s v="AP10043"/>
    <s v="Fast Travel"/>
    <d v="2025-06-01T00:00:00"/>
    <d v="2025-07-01T00:00:00"/>
    <n v="1415.24"/>
    <s v="AUD"/>
    <s v="Partial"/>
    <s v="NA"/>
    <s v="Net 30"/>
    <n v="355"/>
    <x v="0"/>
  </r>
  <r>
    <s v="AP10044"/>
    <s v="BluePrints"/>
    <d v="2023-06-25T00:00:00"/>
    <d v="2023-07-25T00:00:00"/>
    <n v="3224.33"/>
    <s v="GBP"/>
    <s v="Partial"/>
    <s v="NA"/>
    <s v="Net 30"/>
    <n v="1062"/>
    <x v="0"/>
  </r>
  <r>
    <s v="AP10045"/>
    <s v="TechMart"/>
    <d v="2023-06-26T00:00:00"/>
    <d v="2023-07-26T00:00:00"/>
    <n v="1164.49"/>
    <s v="USD"/>
    <s v="Partial"/>
    <s v="NA"/>
    <s v="Net 30"/>
    <n v="1061"/>
    <x v="0"/>
  </r>
  <r>
    <s v="AP10046"/>
    <s v="TechMart"/>
    <d v="2025-01-11T00:00:00"/>
    <d v="2025-02-10T00:00:00"/>
    <n v="2557.61"/>
    <s v="USD"/>
    <s v="Paid"/>
    <d v="2025-02-10T00:00:00"/>
    <s v="Net 30"/>
    <n v="496"/>
    <x v="1"/>
  </r>
  <r>
    <s v="AP10047"/>
    <s v="BluePrints"/>
    <d v="2025-01-25T00:00:00"/>
    <d v="2025-02-24T00:00:00"/>
    <n v="393.4"/>
    <s v="GBP"/>
    <s v="Open"/>
    <s v="NA"/>
    <s v="Net 30"/>
    <n v="482"/>
    <x v="0"/>
  </r>
  <r>
    <s v="AP10048"/>
    <s v="Global Office"/>
    <d v="2025-03-17T00:00:00"/>
    <d v="2025-04-16T00:00:00"/>
    <n v="2307.0500000000002"/>
    <s v="CAD"/>
    <s v="Paid"/>
    <d v="2025-04-16T00:00:00"/>
    <s v="Net 30"/>
    <n v="431"/>
    <x v="1"/>
  </r>
  <r>
    <s v="AP10049"/>
    <s v="BluePrints"/>
    <d v="2023-09-28T00:00:00"/>
    <d v="2023-10-28T00:00:00"/>
    <n v="728.35"/>
    <s v="GBP"/>
    <s v="Paid"/>
    <d v="2023-10-28T00:00:00"/>
    <s v="Net 30"/>
    <n v="967"/>
    <x v="1"/>
  </r>
  <r>
    <s v="AP10050"/>
    <s v="Fast Travel"/>
    <d v="2025-05-24T00:00:00"/>
    <d v="2025-06-23T00:00:00"/>
    <n v="3580.44"/>
    <s v="GBP"/>
    <s v="Open"/>
    <s v="NA"/>
    <s v="Net 30"/>
    <n v="363"/>
    <x v="0"/>
  </r>
  <r>
    <s v="AP10051"/>
    <s v="BluePrints"/>
    <d v="2024-03-31T00:00:00"/>
    <d v="2024-04-30T00:00:00"/>
    <n v="1527.67"/>
    <s v="AUD"/>
    <s v="Paid"/>
    <d v="2024-04-30T00:00:00"/>
    <s v="Net 30"/>
    <n v="782"/>
    <x v="1"/>
  </r>
  <r>
    <s v="AP10052"/>
    <s v="BluePrints"/>
    <d v="2023-04-23T00:00:00"/>
    <d v="2023-05-23T00:00:00"/>
    <n v="3014.35"/>
    <s v="CAD"/>
    <s v="Paid"/>
    <d v="2023-05-23T00:00:00"/>
    <s v="Net 30"/>
    <n v="1125"/>
    <x v="1"/>
  </r>
  <r>
    <s v="AP10053"/>
    <s v="ABC Supplies"/>
    <d v="2023-08-24T00:00:00"/>
    <d v="2023-09-23T00:00:00"/>
    <n v="3099.88"/>
    <s v="CAD"/>
    <s v="Partial"/>
    <s v="NA"/>
    <s v="Net 30"/>
    <n v="1002"/>
    <x v="0"/>
  </r>
  <r>
    <s v="AP10054"/>
    <s v="BluePrints"/>
    <d v="2023-05-09T00:00:00"/>
    <d v="2023-06-08T00:00:00"/>
    <n v="1484.54"/>
    <s v="AUD"/>
    <s v="Partial"/>
    <s v="NA"/>
    <s v="Net 30"/>
    <n v="1109"/>
    <x v="0"/>
  </r>
  <r>
    <s v="AP10055"/>
    <s v="TechMart"/>
    <d v="2023-12-19T00:00:00"/>
    <d v="2024-01-18T00:00:00"/>
    <n v="2922.4"/>
    <s v="AUD"/>
    <s v="Partial"/>
    <s v="NA"/>
    <s v="Net 30"/>
    <n v="885"/>
    <x v="0"/>
  </r>
  <r>
    <s v="AP10056"/>
    <s v="Global Office"/>
    <d v="2023-11-08T00:00:00"/>
    <d v="2023-12-08T00:00:00"/>
    <n v="422.98"/>
    <s v="USD"/>
    <s v="Paid"/>
    <d v="2023-12-08T00:00:00"/>
    <s v="Net 30"/>
    <n v="926"/>
    <x v="1"/>
  </r>
  <r>
    <s v="AP10057"/>
    <s v="BluePrints"/>
    <d v="2023-01-03T00:00:00"/>
    <d v="2023-02-02T00:00:00"/>
    <n v="2784.23"/>
    <s v="USD"/>
    <s v="Partial"/>
    <s v="NA"/>
    <s v="Net 30"/>
    <n v="1235"/>
    <x v="0"/>
  </r>
  <r>
    <s v="AP10058"/>
    <s v="TechMart"/>
    <d v="2024-06-19T00:00:00"/>
    <d v="2024-07-19T00:00:00"/>
    <n v="2946.12"/>
    <s v="CAD"/>
    <s v="Open"/>
    <s v="NA"/>
    <s v="Net 30"/>
    <n v="702"/>
    <x v="0"/>
  </r>
  <r>
    <s v="AP10059"/>
    <s v="BluePrints"/>
    <d v="2025-03-09T00:00:00"/>
    <d v="2025-04-08T00:00:00"/>
    <n v="578.58000000000004"/>
    <s v="GBP"/>
    <s v="Partial"/>
    <s v="NA"/>
    <s v="Net 30"/>
    <n v="439"/>
    <x v="0"/>
  </r>
  <r>
    <s v="AP10060"/>
    <s v="BluePrints"/>
    <d v="2024-05-28T00:00:00"/>
    <d v="2024-06-27T00:00:00"/>
    <n v="3849.56"/>
    <s v="GBP"/>
    <s v="Paid"/>
    <d v="2024-06-27T00:00:00"/>
    <s v="Net 30"/>
    <n v="724"/>
    <x v="1"/>
  </r>
  <r>
    <s v="AP10061"/>
    <s v="BluePrints"/>
    <d v="2024-04-26T00:00:00"/>
    <d v="2024-05-26T00:00:00"/>
    <n v="2055.5300000000002"/>
    <s v="CAD"/>
    <s v="Partial"/>
    <s v="NA"/>
    <s v="Net 30"/>
    <n v="756"/>
    <x v="0"/>
  </r>
  <r>
    <s v="AP10062"/>
    <s v="ABC Supplies"/>
    <d v="2023-02-24T00:00:00"/>
    <d v="2023-03-26T00:00:00"/>
    <n v="2185.3200000000002"/>
    <s v="AUD"/>
    <s v="Paid"/>
    <d v="2023-03-26T00:00:00"/>
    <s v="Net 30"/>
    <n v="1183"/>
    <x v="1"/>
  </r>
  <r>
    <s v="AP10063"/>
    <s v="BluePrints"/>
    <d v="2025-02-15T00:00:00"/>
    <d v="2025-03-17T00:00:00"/>
    <n v="3382.98"/>
    <s v="GBP"/>
    <s v="Paid"/>
    <d v="2025-03-17T00:00:00"/>
    <s v="Net 30"/>
    <n v="461"/>
    <x v="1"/>
  </r>
  <r>
    <s v="AP10064"/>
    <s v="Fast Travel"/>
    <d v="2024-04-22T00:00:00"/>
    <d v="2024-05-22T00:00:00"/>
    <n v="3571.55"/>
    <s v="GBP"/>
    <s v="Partial"/>
    <s v="NA"/>
    <s v="Net 30"/>
    <n v="760"/>
    <x v="0"/>
  </r>
  <r>
    <s v="AP10065"/>
    <s v="ABC Supplies"/>
    <d v="2025-04-15T00:00:00"/>
    <d v="2025-05-15T00:00:00"/>
    <n v="2137.4499999999998"/>
    <s v="USD"/>
    <s v="Open"/>
    <s v="NA"/>
    <s v="Net 30"/>
    <n v="402"/>
    <x v="0"/>
  </r>
  <r>
    <s v="AP10066"/>
    <s v="TechMart"/>
    <d v="2025-02-09T00:00:00"/>
    <d v="2025-03-11T00:00:00"/>
    <n v="3793.28"/>
    <s v="USD"/>
    <s v="Paid"/>
    <d v="2025-03-11T00:00:00"/>
    <s v="Net 30"/>
    <n v="467"/>
    <x v="1"/>
  </r>
  <r>
    <s v="AP10067"/>
    <s v="BluePrints"/>
    <d v="2025-01-03T00:00:00"/>
    <d v="2025-02-02T00:00:00"/>
    <n v="2973.27"/>
    <s v="CAD"/>
    <s v="Paid"/>
    <d v="2025-02-02T00:00:00"/>
    <s v="Net 30"/>
    <n v="504"/>
    <x v="1"/>
  </r>
  <r>
    <s v="AP10068"/>
    <s v="BluePrints"/>
    <d v="2024-07-24T00:00:00"/>
    <d v="2024-08-23T00:00:00"/>
    <n v="4968.32"/>
    <s v="USD"/>
    <s v="Open"/>
    <s v="NA"/>
    <s v="Net 30"/>
    <n v="667"/>
    <x v="0"/>
  </r>
  <r>
    <s v="AP10069"/>
    <s v="BluePrints"/>
    <d v="2023-02-01T00:00:00"/>
    <d v="2023-03-03T00:00:00"/>
    <n v="4336.91"/>
    <s v="USD"/>
    <s v="Open"/>
    <s v="NA"/>
    <s v="Net 30"/>
    <n v="1206"/>
    <x v="0"/>
  </r>
  <r>
    <s v="AP10070"/>
    <s v="TechMart"/>
    <d v="2024-12-03T00:00:00"/>
    <d v="2025-01-02T00:00:00"/>
    <n v="2479.9499999999998"/>
    <s v="USD"/>
    <s v="Paid"/>
    <d v="2025-01-02T00:00:00"/>
    <s v="Net 30"/>
    <n v="535"/>
    <x v="1"/>
  </r>
  <r>
    <s v="AP10071"/>
    <s v="TechMart"/>
    <d v="2025-06-13T00:00:00"/>
    <d v="2025-07-13T00:00:00"/>
    <n v="2498.69"/>
    <s v="USD"/>
    <s v="Open"/>
    <s v="NA"/>
    <s v="Net 30"/>
    <n v="343"/>
    <x v="0"/>
  </r>
  <r>
    <s v="AP10072"/>
    <s v="Fast Travel"/>
    <d v="2024-11-01T00:00:00"/>
    <d v="2024-12-01T00:00:00"/>
    <n v="2106.66"/>
    <s v="CAD"/>
    <s v="Paid"/>
    <d v="2024-12-01T00:00:00"/>
    <s v="Net 30"/>
    <n v="567"/>
    <x v="1"/>
  </r>
  <r>
    <s v="AP10073"/>
    <s v="BluePrints"/>
    <d v="2023-06-15T00:00:00"/>
    <d v="2023-07-15T00:00:00"/>
    <n v="2082.92"/>
    <s v="AUD"/>
    <s v="Partial"/>
    <s v="NA"/>
    <s v="Net 30"/>
    <n v="1072"/>
    <x v="0"/>
  </r>
  <r>
    <s v="AP10074"/>
    <s v="ABC Supplies"/>
    <d v="2023-09-18T00:00:00"/>
    <d v="2023-10-18T00:00:00"/>
    <n v="3536.09"/>
    <s v="USD"/>
    <s v="Paid"/>
    <d v="2023-10-18T00:00:00"/>
    <s v="Net 30"/>
    <n v="977"/>
    <x v="1"/>
  </r>
  <r>
    <s v="AP10075"/>
    <s v="BluePrints"/>
    <d v="2025-01-04T00:00:00"/>
    <d v="2025-02-03T00:00:00"/>
    <n v="3984.82"/>
    <s v="CAD"/>
    <s v="Open"/>
    <s v="NA"/>
    <s v="Net 30"/>
    <n v="503"/>
    <x v="0"/>
  </r>
  <r>
    <s v="AP10076"/>
    <s v="TechMart"/>
    <d v="2023-05-22T00:00:00"/>
    <d v="2023-06-21T00:00:00"/>
    <n v="1175.94"/>
    <s v="USD"/>
    <s v="Partial"/>
    <s v="NA"/>
    <s v="Net 30"/>
    <n v="1096"/>
    <x v="0"/>
  </r>
  <r>
    <s v="AP10077"/>
    <s v="Global Office"/>
    <d v="2024-09-21T00:00:00"/>
    <d v="2024-10-21T00:00:00"/>
    <n v="1596.04"/>
    <s v="AUD"/>
    <s v="Paid"/>
    <d v="2024-10-21T00:00:00"/>
    <s v="Net 30"/>
    <n v="608"/>
    <x v="1"/>
  </r>
  <r>
    <s v="AP10078"/>
    <s v="Global Office"/>
    <d v="2024-04-19T00:00:00"/>
    <d v="2024-05-19T00:00:00"/>
    <n v="1687.52"/>
    <s v="USD"/>
    <s v="Paid"/>
    <d v="2024-05-19T00:00:00"/>
    <s v="Net 30"/>
    <n v="763"/>
    <x v="1"/>
  </r>
  <r>
    <s v="AP10079"/>
    <s v="Global Office"/>
    <d v="2023-08-23T00:00:00"/>
    <d v="2023-09-22T00:00:00"/>
    <n v="1247.56"/>
    <s v="USD"/>
    <s v="Paid"/>
    <d v="2023-09-22T00:00:00"/>
    <s v="Net 30"/>
    <n v="1003"/>
    <x v="1"/>
  </r>
  <r>
    <s v="AP10080"/>
    <s v="ABC Supplies"/>
    <d v="2025-06-03T00:00:00"/>
    <d v="2025-07-03T00:00:00"/>
    <n v="3330.96"/>
    <s v="AUD"/>
    <s v="Partial"/>
    <s v="NA"/>
    <s v="Net 30"/>
    <n v="353"/>
    <x v="0"/>
  </r>
  <r>
    <s v="AP10081"/>
    <s v="TechMart"/>
    <d v="2024-09-26T00:00:00"/>
    <d v="2024-10-26T00:00:00"/>
    <n v="1612.59"/>
    <s v="EUR"/>
    <s v="Open"/>
    <s v="NA"/>
    <s v="Net 30"/>
    <n v="603"/>
    <x v="0"/>
  </r>
  <r>
    <s v="AP10082"/>
    <s v="Global Office"/>
    <d v="2024-06-15T00:00:00"/>
    <d v="2024-07-15T00:00:00"/>
    <n v="1096.08"/>
    <s v="CAD"/>
    <s v="Partial"/>
    <s v="NA"/>
    <s v="Net 30"/>
    <n v="706"/>
    <x v="0"/>
  </r>
  <r>
    <s v="AP10083"/>
    <s v="ABC Supplies"/>
    <d v="2024-05-11T00:00:00"/>
    <d v="2024-06-10T00:00:00"/>
    <n v="1927.05"/>
    <s v="USD"/>
    <s v="Partial"/>
    <s v="NA"/>
    <s v="Net 30"/>
    <n v="741"/>
    <x v="0"/>
  </r>
  <r>
    <s v="AP10084"/>
    <s v="ABC Supplies"/>
    <d v="2023-06-05T00:00:00"/>
    <d v="2023-07-05T00:00:00"/>
    <n v="1169.93"/>
    <s v="USD"/>
    <s v="Open"/>
    <s v="NA"/>
    <s v="Net 30"/>
    <n v="1082"/>
    <x v="0"/>
  </r>
  <r>
    <s v="AP10085"/>
    <s v="TechMart"/>
    <d v="2025-06-12T00:00:00"/>
    <d v="2025-07-12T00:00:00"/>
    <n v="662.31"/>
    <s v="GBP"/>
    <s v="Open"/>
    <s v="NA"/>
    <s v="Net 30"/>
    <n v="344"/>
    <x v="0"/>
  </r>
  <r>
    <s v="AP10086"/>
    <s v="TechMart"/>
    <d v="2023-07-04T00:00:00"/>
    <d v="2023-08-03T00:00:00"/>
    <n v="3443.5"/>
    <s v="CAD"/>
    <s v="Paid"/>
    <d v="2023-08-03T00:00:00"/>
    <s v="Net 30"/>
    <n v="1053"/>
    <x v="1"/>
  </r>
  <r>
    <s v="AP10087"/>
    <s v="TechMart"/>
    <d v="2024-06-13T00:00:00"/>
    <d v="2024-07-13T00:00:00"/>
    <n v="3290.86"/>
    <s v="CAD"/>
    <s v="Paid"/>
    <d v="2024-07-13T00:00:00"/>
    <s v="Net 30"/>
    <n v="708"/>
    <x v="1"/>
  </r>
  <r>
    <s v="AP10088"/>
    <s v="TechMart"/>
    <d v="2025-03-21T00:00:00"/>
    <d v="2025-04-20T00:00:00"/>
    <n v="1872.61"/>
    <s v="EUR"/>
    <s v="Open"/>
    <s v="NA"/>
    <s v="Net 30"/>
    <n v="427"/>
    <x v="0"/>
  </r>
  <r>
    <s v="AP10089"/>
    <s v="TechMart"/>
    <d v="2024-08-16T00:00:00"/>
    <d v="2024-09-15T00:00:00"/>
    <n v="307.49"/>
    <s v="GBP"/>
    <s v="Open"/>
    <s v="NA"/>
    <s v="Net 30"/>
    <n v="644"/>
    <x v="0"/>
  </r>
  <r>
    <s v="AP10090"/>
    <s v="TechMart"/>
    <d v="2024-04-21T00:00:00"/>
    <d v="2024-05-21T00:00:00"/>
    <n v="211.08"/>
    <s v="AUD"/>
    <s v="Partial"/>
    <s v="NA"/>
    <s v="Net 30"/>
    <n v="761"/>
    <x v="0"/>
  </r>
  <r>
    <s v="AP10091"/>
    <s v="TechMart"/>
    <d v="2023-02-09T00:00:00"/>
    <d v="2023-03-11T00:00:00"/>
    <n v="2052.0100000000002"/>
    <s v="EUR"/>
    <s v="Open"/>
    <s v="NA"/>
    <s v="Net 30"/>
    <n v="1198"/>
    <x v="0"/>
  </r>
  <r>
    <s v="AP10092"/>
    <s v="TechMart"/>
    <d v="2023-05-25T00:00:00"/>
    <d v="2023-06-24T00:00:00"/>
    <n v="4091.87"/>
    <s v="AUD"/>
    <s v="Open"/>
    <s v="NA"/>
    <s v="Net 30"/>
    <n v="1093"/>
    <x v="0"/>
  </r>
  <r>
    <s v="AP10093"/>
    <s v="Global Office"/>
    <d v="2023-10-28T00:00:00"/>
    <d v="2023-11-27T00:00:00"/>
    <n v="1321.04"/>
    <s v="AUD"/>
    <s v="Open"/>
    <s v="NA"/>
    <s v="Net 30"/>
    <n v="937"/>
    <x v="0"/>
  </r>
  <r>
    <s v="AP10094"/>
    <s v="BluePrints"/>
    <d v="2023-06-11T00:00:00"/>
    <d v="2023-07-11T00:00:00"/>
    <n v="4205.21"/>
    <s v="AUD"/>
    <s v="Paid"/>
    <d v="2023-07-11T00:00:00"/>
    <s v="Net 30"/>
    <n v="1076"/>
    <x v="1"/>
  </r>
  <r>
    <s v="AP10095"/>
    <s v="Fast Travel"/>
    <d v="2024-05-14T00:00:00"/>
    <d v="2024-06-13T00:00:00"/>
    <n v="4804.12"/>
    <s v="CAD"/>
    <s v="Open"/>
    <s v="NA"/>
    <s v="Net 30"/>
    <n v="738"/>
    <x v="0"/>
  </r>
  <r>
    <s v="AP10096"/>
    <s v="Fast Travel"/>
    <d v="2024-05-30T00:00:00"/>
    <d v="2024-06-29T00:00:00"/>
    <n v="2179.34"/>
    <s v="USD"/>
    <s v="Paid"/>
    <d v="2024-06-29T00:00:00"/>
    <s v="Net 30"/>
    <n v="722"/>
    <x v="1"/>
  </r>
  <r>
    <s v="AP10097"/>
    <s v="ABC Supplies"/>
    <d v="2024-02-28T00:00:00"/>
    <d v="2024-03-29T00:00:00"/>
    <n v="2918.59"/>
    <s v="CAD"/>
    <s v="Open"/>
    <s v="NA"/>
    <s v="Net 30"/>
    <n v="814"/>
    <x v="0"/>
  </r>
  <r>
    <s v="AP10098"/>
    <s v="Global Office"/>
    <d v="2024-10-03T00:00:00"/>
    <d v="2024-11-02T00:00:00"/>
    <n v="4508.92"/>
    <s v="CAD"/>
    <s v="Paid"/>
    <d v="2024-11-02T00:00:00"/>
    <s v="Net 30"/>
    <n v="596"/>
    <x v="1"/>
  </r>
  <r>
    <s v="AP10099"/>
    <s v="BluePrints"/>
    <d v="2023-07-27T00:00:00"/>
    <d v="2023-08-26T00:00:00"/>
    <n v="3543.69"/>
    <s v="EUR"/>
    <s v="Partial"/>
    <s v="NA"/>
    <s v="Net 30"/>
    <n v="1030"/>
    <x v="0"/>
  </r>
  <r>
    <s v="AP10100"/>
    <s v="Global Office"/>
    <d v="2024-09-19T00:00:00"/>
    <d v="2024-10-19T00:00:00"/>
    <n v="3606.75"/>
    <s v="AUD"/>
    <s v="Open"/>
    <s v="NA"/>
    <s v="Net 30"/>
    <n v="610"/>
    <x v="0"/>
  </r>
  <r>
    <s v="AP10101"/>
    <s v="Global Office"/>
    <d v="2025-06-30T00:00:00"/>
    <d v="2025-07-30T00:00:00"/>
    <n v="3518.19"/>
    <s v="USD"/>
    <s v="Partial"/>
    <s v="NA"/>
    <s v="Net 30"/>
    <n v="326"/>
    <x v="0"/>
  </r>
  <r>
    <s v="AP10102"/>
    <s v="Fast Travel"/>
    <d v="2024-12-27T00:00:00"/>
    <d v="2025-01-26T00:00:00"/>
    <n v="4853.53"/>
    <s v="CAD"/>
    <s v="Open"/>
    <s v="NA"/>
    <s v="Net 30"/>
    <n v="511"/>
    <x v="0"/>
  </r>
  <r>
    <s v="AP10103"/>
    <s v="BluePrints"/>
    <d v="2024-08-29T00:00:00"/>
    <d v="2024-09-28T00:00:00"/>
    <n v="4099.79"/>
    <s v="EUR"/>
    <s v="Partial"/>
    <s v="NA"/>
    <s v="Net 30"/>
    <n v="631"/>
    <x v="0"/>
  </r>
  <r>
    <s v="AP10104"/>
    <s v="BluePrints"/>
    <d v="2023-02-01T00:00:00"/>
    <d v="2023-03-03T00:00:00"/>
    <n v="3167.66"/>
    <s v="CAD"/>
    <s v="Paid"/>
    <d v="2023-03-03T00:00:00"/>
    <s v="Net 30"/>
    <n v="1206"/>
    <x v="1"/>
  </r>
  <r>
    <s v="AP10105"/>
    <s v="Global Office"/>
    <d v="2023-04-08T00:00:00"/>
    <d v="2023-05-08T00:00:00"/>
    <n v="4646.9799999999996"/>
    <s v="EUR"/>
    <s v="Partial"/>
    <s v="NA"/>
    <s v="Net 30"/>
    <n v="1140"/>
    <x v="0"/>
  </r>
  <r>
    <s v="AP10106"/>
    <s v="TechMart"/>
    <d v="2024-09-17T00:00:00"/>
    <d v="2024-10-17T00:00:00"/>
    <n v="4202.6099999999997"/>
    <s v="GBP"/>
    <s v="Open"/>
    <s v="NA"/>
    <s v="Net 30"/>
    <n v="612"/>
    <x v="0"/>
  </r>
  <r>
    <s v="AP10107"/>
    <s v="TechMart"/>
    <d v="2023-11-20T00:00:00"/>
    <d v="2023-12-20T00:00:00"/>
    <n v="1491.57"/>
    <s v="EUR"/>
    <s v="Paid"/>
    <d v="2023-12-20T00:00:00"/>
    <s v="Net 30"/>
    <n v="914"/>
    <x v="1"/>
  </r>
  <r>
    <s v="AP10108"/>
    <s v="BluePrints"/>
    <d v="2024-02-17T00:00:00"/>
    <d v="2024-03-18T00:00:00"/>
    <n v="2302.71"/>
    <s v="USD"/>
    <s v="Paid"/>
    <d v="2024-03-18T00:00:00"/>
    <s v="Net 30"/>
    <n v="825"/>
    <x v="1"/>
  </r>
  <r>
    <s v="AP10109"/>
    <s v="Global Office"/>
    <d v="2025-05-10T00:00:00"/>
    <d v="2025-06-09T00:00:00"/>
    <n v="222.31"/>
    <s v="EUR"/>
    <s v="Partial"/>
    <s v="NA"/>
    <s v="Net 30"/>
    <n v="377"/>
    <x v="0"/>
  </r>
  <r>
    <s v="AP10110"/>
    <s v="Global Office"/>
    <d v="2024-11-25T00:00:00"/>
    <d v="2024-12-25T00:00:00"/>
    <n v="1191.67"/>
    <s v="GBP"/>
    <s v="Open"/>
    <s v="NA"/>
    <s v="Net 30"/>
    <n v="543"/>
    <x v="0"/>
  </r>
  <r>
    <s v="AP10111"/>
    <s v="Global Office"/>
    <d v="2023-12-13T00:00:00"/>
    <d v="2024-01-12T00:00:00"/>
    <n v="3805.91"/>
    <s v="CAD"/>
    <s v="Paid"/>
    <d v="2024-01-12T00:00:00"/>
    <s v="Net 30"/>
    <n v="891"/>
    <x v="1"/>
  </r>
  <r>
    <s v="AP10112"/>
    <s v="TechMart"/>
    <d v="2023-04-12T00:00:00"/>
    <d v="2023-05-12T00:00:00"/>
    <n v="945.2"/>
    <s v="USD"/>
    <s v="Partial"/>
    <s v="NA"/>
    <s v="Net 30"/>
    <n v="1136"/>
    <x v="0"/>
  </r>
  <r>
    <s v="AP10113"/>
    <s v="Global Office"/>
    <d v="2024-01-20T00:00:00"/>
    <d v="2024-02-19T00:00:00"/>
    <n v="2517.4699999999998"/>
    <s v="CAD"/>
    <s v="Partial"/>
    <s v="NA"/>
    <s v="Net 30"/>
    <n v="853"/>
    <x v="0"/>
  </r>
  <r>
    <s v="AP10114"/>
    <s v="TechMart"/>
    <d v="2024-11-29T00:00:00"/>
    <d v="2024-12-29T00:00:00"/>
    <n v="4131.71"/>
    <s v="USD"/>
    <s v="Partial"/>
    <s v="NA"/>
    <s v="Net 30"/>
    <n v="539"/>
    <x v="0"/>
  </r>
  <r>
    <s v="AP10115"/>
    <s v="TechMart"/>
    <d v="2024-03-19T00:00:00"/>
    <d v="2024-04-18T00:00:00"/>
    <n v="1116.42"/>
    <s v="CAD"/>
    <s v="Open"/>
    <s v="NA"/>
    <s v="Net 30"/>
    <n v="794"/>
    <x v="0"/>
  </r>
  <r>
    <s v="AP10116"/>
    <s v="TechMart"/>
    <d v="2023-09-24T00:00:00"/>
    <d v="2023-10-24T00:00:00"/>
    <n v="4575.2700000000004"/>
    <s v="CAD"/>
    <s v="Open"/>
    <s v="NA"/>
    <s v="Net 30"/>
    <n v="971"/>
    <x v="0"/>
  </r>
  <r>
    <s v="AP10117"/>
    <s v="TechMart"/>
    <d v="2023-02-16T00:00:00"/>
    <d v="2023-03-18T00:00:00"/>
    <n v="1514.17"/>
    <s v="CAD"/>
    <s v="Open"/>
    <s v="NA"/>
    <s v="Net 30"/>
    <n v="1191"/>
    <x v="0"/>
  </r>
  <r>
    <s v="AP10118"/>
    <s v="BluePrints"/>
    <d v="2023-08-14T00:00:00"/>
    <d v="2023-09-13T00:00:00"/>
    <n v="4267.03"/>
    <s v="CAD"/>
    <s v="Open"/>
    <s v="NA"/>
    <s v="Net 30"/>
    <n v="1012"/>
    <x v="0"/>
  </r>
  <r>
    <s v="AP10119"/>
    <s v="Fast Travel"/>
    <d v="2025-01-28T00:00:00"/>
    <d v="2025-02-27T00:00:00"/>
    <n v="4482.04"/>
    <s v="GBP"/>
    <s v="Partial"/>
    <s v="NA"/>
    <s v="Net 30"/>
    <n v="479"/>
    <x v="0"/>
  </r>
  <r>
    <s v="AP10120"/>
    <s v="TechMart"/>
    <d v="2024-04-30T00:00:00"/>
    <d v="2024-05-30T00:00:00"/>
    <n v="1407.76"/>
    <s v="GBP"/>
    <s v="Paid"/>
    <d v="2024-05-30T00:00:00"/>
    <s v="Net 30"/>
    <n v="752"/>
    <x v="1"/>
  </r>
  <r>
    <s v="AP10121"/>
    <s v="ABC Supplies"/>
    <d v="2023-11-23T00:00:00"/>
    <d v="2023-12-23T00:00:00"/>
    <n v="2739.91"/>
    <s v="EUR"/>
    <s v="Open"/>
    <s v="NA"/>
    <s v="Net 30"/>
    <n v="911"/>
    <x v="0"/>
  </r>
  <r>
    <s v="AP10122"/>
    <s v="BluePrints"/>
    <d v="2025-03-13T00:00:00"/>
    <d v="2025-04-12T00:00:00"/>
    <n v="2094.14"/>
    <s v="GBP"/>
    <s v="Partial"/>
    <s v="NA"/>
    <s v="Net 30"/>
    <n v="435"/>
    <x v="0"/>
  </r>
  <r>
    <s v="AP10123"/>
    <s v="TechMart"/>
    <d v="2024-12-21T00:00:00"/>
    <d v="2025-01-20T00:00:00"/>
    <n v="1636.17"/>
    <s v="GBP"/>
    <s v="Open"/>
    <s v="NA"/>
    <s v="Net 30"/>
    <n v="517"/>
    <x v="0"/>
  </r>
  <r>
    <s v="AP10124"/>
    <s v="Fast Travel"/>
    <d v="2023-10-05T00:00:00"/>
    <d v="2023-11-04T00:00:00"/>
    <n v="1052.47"/>
    <s v="AUD"/>
    <s v="Partial"/>
    <s v="NA"/>
    <s v="Net 30"/>
    <n v="960"/>
    <x v="0"/>
  </r>
  <r>
    <s v="AP10125"/>
    <s v="Fast Travel"/>
    <d v="2023-09-17T00:00:00"/>
    <d v="2023-10-17T00:00:00"/>
    <n v="4195.09"/>
    <s v="AUD"/>
    <s v="Open"/>
    <s v="NA"/>
    <s v="Net 30"/>
    <n v="978"/>
    <x v="0"/>
  </r>
  <r>
    <s v="AP10126"/>
    <s v="ABC Supplies"/>
    <d v="2023-01-14T00:00:00"/>
    <d v="2023-02-13T00:00:00"/>
    <n v="2545.81"/>
    <s v="USD"/>
    <s v="Partial"/>
    <s v="NA"/>
    <s v="Net 30"/>
    <n v="1224"/>
    <x v="0"/>
  </r>
  <r>
    <s v="AP10127"/>
    <s v="Global Office"/>
    <d v="2024-04-14T00:00:00"/>
    <d v="2024-05-14T00:00:00"/>
    <n v="993.34"/>
    <s v="AUD"/>
    <s v="Partial"/>
    <s v="NA"/>
    <s v="Net 30"/>
    <n v="768"/>
    <x v="0"/>
  </r>
  <r>
    <s v="AP10128"/>
    <s v="Global Office"/>
    <d v="2023-06-14T00:00:00"/>
    <d v="2023-07-14T00:00:00"/>
    <n v="834.51"/>
    <s v="GBP"/>
    <s v="Partial"/>
    <s v="NA"/>
    <s v="Net 30"/>
    <n v="1073"/>
    <x v="0"/>
  </r>
  <r>
    <s v="AP10129"/>
    <s v="Global Office"/>
    <d v="2023-12-26T00:00:00"/>
    <d v="2024-01-25T00:00:00"/>
    <n v="2107.58"/>
    <s v="USD"/>
    <s v="Partial"/>
    <s v="NA"/>
    <s v="Net 30"/>
    <n v="878"/>
    <x v="0"/>
  </r>
  <r>
    <s v="AP10130"/>
    <s v="TechMart"/>
    <d v="2025-05-05T00:00:00"/>
    <d v="2025-06-04T00:00:00"/>
    <n v="1874.69"/>
    <s v="USD"/>
    <s v="Open"/>
    <s v="NA"/>
    <s v="Net 30"/>
    <n v="382"/>
    <x v="0"/>
  </r>
  <r>
    <s v="AP10131"/>
    <s v="Global Office"/>
    <d v="2024-06-28T00:00:00"/>
    <d v="2024-07-28T00:00:00"/>
    <n v="4388.51"/>
    <s v="EUR"/>
    <s v="Paid"/>
    <d v="2024-07-28T00:00:00"/>
    <s v="Net 30"/>
    <n v="693"/>
    <x v="1"/>
  </r>
  <r>
    <s v="AP10132"/>
    <s v="Fast Travel"/>
    <d v="2024-03-14T00:00:00"/>
    <d v="2024-04-13T00:00:00"/>
    <n v="125.24"/>
    <s v="CAD"/>
    <s v="Partial"/>
    <s v="NA"/>
    <s v="Net 30"/>
    <n v="799"/>
    <x v="0"/>
  </r>
  <r>
    <s v="AP10133"/>
    <s v="ABC Supplies"/>
    <d v="2024-04-10T00:00:00"/>
    <d v="2024-05-10T00:00:00"/>
    <n v="1249.8900000000001"/>
    <s v="AUD"/>
    <s v="Open"/>
    <s v="NA"/>
    <s v="Net 30"/>
    <n v="772"/>
    <x v="0"/>
  </r>
  <r>
    <s v="AP10134"/>
    <s v="ABC Supplies"/>
    <d v="2024-12-05T00:00:00"/>
    <d v="2025-01-04T00:00:00"/>
    <n v="4937.78"/>
    <s v="EUR"/>
    <s v="Open"/>
    <s v="NA"/>
    <s v="Net 30"/>
    <n v="533"/>
    <x v="0"/>
  </r>
  <r>
    <s v="AP10135"/>
    <s v="BluePrints"/>
    <d v="2024-03-30T00:00:00"/>
    <d v="2024-04-29T00:00:00"/>
    <n v="2379.1799999999998"/>
    <s v="AUD"/>
    <s v="Paid"/>
    <d v="2024-04-29T00:00:00"/>
    <s v="Net 30"/>
    <n v="783"/>
    <x v="1"/>
  </r>
  <r>
    <s v="AP10136"/>
    <s v="BluePrints"/>
    <d v="2023-12-05T00:00:00"/>
    <d v="2024-01-04T00:00:00"/>
    <n v="4032.55"/>
    <s v="CAD"/>
    <s v="Paid"/>
    <d v="2024-01-04T00:00:00"/>
    <s v="Net 30"/>
    <n v="899"/>
    <x v="1"/>
  </r>
  <r>
    <s v="AP10137"/>
    <s v="TechMart"/>
    <d v="2024-07-21T00:00:00"/>
    <d v="2024-08-20T00:00:00"/>
    <n v="3922.59"/>
    <s v="AUD"/>
    <s v="Paid"/>
    <d v="2024-08-20T00:00:00"/>
    <s v="Net 30"/>
    <n v="670"/>
    <x v="1"/>
  </r>
  <r>
    <s v="AP10138"/>
    <s v="TechMart"/>
    <d v="2023-09-05T00:00:00"/>
    <d v="2023-10-05T00:00:00"/>
    <n v="3377.42"/>
    <s v="GBP"/>
    <s v="Paid"/>
    <d v="2023-10-05T00:00:00"/>
    <s v="Net 30"/>
    <n v="990"/>
    <x v="1"/>
  </r>
  <r>
    <s v="AP10139"/>
    <s v="Global Office"/>
    <d v="2024-12-12T00:00:00"/>
    <d v="2025-01-11T00:00:00"/>
    <n v="3927.21"/>
    <s v="EUR"/>
    <s v="Partial"/>
    <s v="NA"/>
    <s v="Net 30"/>
    <n v="526"/>
    <x v="0"/>
  </r>
  <r>
    <s v="AP10140"/>
    <s v="Global Office"/>
    <d v="2024-04-18T00:00:00"/>
    <d v="2024-05-18T00:00:00"/>
    <n v="4292.3500000000004"/>
    <s v="CAD"/>
    <s v="Open"/>
    <s v="NA"/>
    <s v="Net 30"/>
    <n v="764"/>
    <x v="0"/>
  </r>
  <r>
    <s v="AP10141"/>
    <s v="Fast Travel"/>
    <d v="2025-06-19T00:00:00"/>
    <d v="2025-07-19T00:00:00"/>
    <n v="3350.66"/>
    <s v="USD"/>
    <s v="Partial"/>
    <s v="NA"/>
    <s v="Net 30"/>
    <n v="337"/>
    <x v="0"/>
  </r>
  <r>
    <s v="AP10142"/>
    <s v="TechMart"/>
    <d v="2023-05-28T00:00:00"/>
    <d v="2023-06-27T00:00:00"/>
    <n v="4762.47"/>
    <s v="USD"/>
    <s v="Partial"/>
    <s v="NA"/>
    <s v="Net 30"/>
    <n v="1090"/>
    <x v="0"/>
  </r>
  <r>
    <s v="AP10143"/>
    <s v="TechMart"/>
    <d v="2023-08-01T00:00:00"/>
    <d v="2023-08-31T00:00:00"/>
    <n v="1589.97"/>
    <s v="AUD"/>
    <s v="Open"/>
    <s v="NA"/>
    <s v="Net 30"/>
    <n v="1025"/>
    <x v="0"/>
  </r>
  <r>
    <s v="AP10144"/>
    <s v="ABC Supplies"/>
    <d v="2024-06-24T00:00:00"/>
    <d v="2024-07-24T00:00:00"/>
    <n v="2206.4"/>
    <s v="GBP"/>
    <s v="Partial"/>
    <s v="NA"/>
    <s v="Net 30"/>
    <n v="697"/>
    <x v="0"/>
  </r>
  <r>
    <s v="AP10145"/>
    <s v="Global Office"/>
    <d v="2023-11-28T00:00:00"/>
    <d v="2023-12-28T00:00:00"/>
    <n v="2642.46"/>
    <s v="GBP"/>
    <s v="Paid"/>
    <d v="2023-12-28T00:00:00"/>
    <s v="Net 30"/>
    <n v="906"/>
    <x v="1"/>
  </r>
  <r>
    <s v="AP10146"/>
    <s v="TechMart"/>
    <d v="2024-04-10T00:00:00"/>
    <d v="2024-05-10T00:00:00"/>
    <n v="2413.9"/>
    <s v="CAD"/>
    <s v="Partial"/>
    <s v="NA"/>
    <s v="Net 30"/>
    <n v="772"/>
    <x v="0"/>
  </r>
  <r>
    <s v="AP10147"/>
    <s v="Global Office"/>
    <d v="2023-08-16T00:00:00"/>
    <d v="2023-09-15T00:00:00"/>
    <n v="2803.47"/>
    <s v="USD"/>
    <s v="Partial"/>
    <s v="NA"/>
    <s v="Net 30"/>
    <n v="1010"/>
    <x v="0"/>
  </r>
  <r>
    <s v="AP10148"/>
    <s v="Fast Travel"/>
    <d v="2023-09-30T00:00:00"/>
    <d v="2023-10-30T00:00:00"/>
    <n v="3709.9"/>
    <s v="EUR"/>
    <s v="Partial"/>
    <s v="NA"/>
    <s v="Net 30"/>
    <n v="965"/>
    <x v="0"/>
  </r>
  <r>
    <s v="AP10149"/>
    <s v="ABC Supplies"/>
    <d v="2024-06-13T00:00:00"/>
    <d v="2024-07-13T00:00:00"/>
    <n v="4721.1499999999996"/>
    <s v="AUD"/>
    <s v="Paid"/>
    <d v="2024-07-13T00:00:00"/>
    <s v="Net 30"/>
    <n v="708"/>
    <x v="1"/>
  </r>
  <r>
    <s v="AP10150"/>
    <s v="TechMart"/>
    <d v="2023-08-06T00:00:00"/>
    <d v="2023-09-05T00:00:00"/>
    <n v="1555.44"/>
    <s v="USD"/>
    <s v="Partial"/>
    <s v="NA"/>
    <s v="Net 30"/>
    <n v="1020"/>
    <x v="0"/>
  </r>
  <r>
    <s v="AP10151"/>
    <s v="ABC Supplies"/>
    <d v="2024-04-08T00:00:00"/>
    <d v="2024-05-08T00:00:00"/>
    <n v="2731.15"/>
    <s v="USD"/>
    <s v="Paid"/>
    <d v="2024-05-08T00:00:00"/>
    <s v="Net 30"/>
    <n v="774"/>
    <x v="1"/>
  </r>
  <r>
    <s v="AP10152"/>
    <s v="BluePrints"/>
    <d v="2024-11-26T00:00:00"/>
    <d v="2024-12-26T00:00:00"/>
    <n v="3600.41"/>
    <s v="CAD"/>
    <s v="Partial"/>
    <s v="NA"/>
    <s v="Net 30"/>
    <n v="542"/>
    <x v="0"/>
  </r>
  <r>
    <s v="AP10153"/>
    <s v="BluePrints"/>
    <d v="2023-03-05T00:00:00"/>
    <d v="2023-04-04T00:00:00"/>
    <n v="1532.1"/>
    <s v="EUR"/>
    <s v="Paid"/>
    <d v="2023-04-04T00:00:00"/>
    <s v="Net 30"/>
    <n v="1174"/>
    <x v="1"/>
  </r>
  <r>
    <s v="AP10154"/>
    <s v="Fast Travel"/>
    <d v="2024-07-02T00:00:00"/>
    <d v="2024-08-01T00:00:00"/>
    <n v="3671.9"/>
    <s v="USD"/>
    <s v="Open"/>
    <s v="NA"/>
    <s v="Net 30"/>
    <n v="689"/>
    <x v="0"/>
  </r>
  <r>
    <s v="AP10155"/>
    <s v="ABC Supplies"/>
    <d v="2024-02-23T00:00:00"/>
    <d v="2024-03-24T00:00:00"/>
    <n v="249.12"/>
    <s v="USD"/>
    <s v="Open"/>
    <s v="NA"/>
    <s v="Net 30"/>
    <n v="819"/>
    <x v="0"/>
  </r>
  <r>
    <s v="AP10156"/>
    <s v="Global Office"/>
    <d v="2024-10-02T00:00:00"/>
    <d v="2024-11-01T00:00:00"/>
    <n v="1247.49"/>
    <s v="EUR"/>
    <s v="Partial"/>
    <s v="NA"/>
    <s v="Net 30"/>
    <n v="597"/>
    <x v="0"/>
  </r>
  <r>
    <s v="AP10157"/>
    <s v="Global Office"/>
    <d v="2023-06-04T00:00:00"/>
    <d v="2023-07-04T00:00:00"/>
    <n v="4374.63"/>
    <s v="USD"/>
    <s v="Partial"/>
    <s v="NA"/>
    <s v="Net 30"/>
    <n v="1083"/>
    <x v="0"/>
  </r>
  <r>
    <s v="AP10158"/>
    <s v="Global Office"/>
    <d v="2023-04-28T00:00:00"/>
    <d v="2023-05-28T00:00:00"/>
    <n v="3691.12"/>
    <s v="EUR"/>
    <s v="Partial"/>
    <s v="NA"/>
    <s v="Net 30"/>
    <n v="1120"/>
    <x v="0"/>
  </r>
  <r>
    <s v="AP10159"/>
    <s v="Global Office"/>
    <d v="2024-05-31T00:00:00"/>
    <d v="2024-06-30T00:00:00"/>
    <n v="4217.3900000000003"/>
    <s v="AUD"/>
    <s v="Paid"/>
    <d v="2024-06-30T00:00:00"/>
    <s v="Net 30"/>
    <n v="721"/>
    <x v="1"/>
  </r>
  <r>
    <s v="AP10160"/>
    <s v="Fast Travel"/>
    <d v="2023-10-05T00:00:00"/>
    <d v="2023-11-04T00:00:00"/>
    <n v="4642.3599999999997"/>
    <s v="CAD"/>
    <s v="Open"/>
    <s v="NA"/>
    <s v="Net 30"/>
    <n v="960"/>
    <x v="0"/>
  </r>
  <r>
    <s v="AP10161"/>
    <s v="BluePrints"/>
    <d v="2025-03-18T00:00:00"/>
    <d v="2025-04-17T00:00:00"/>
    <n v="3580.35"/>
    <s v="AUD"/>
    <s v="Partial"/>
    <s v="NA"/>
    <s v="Net 30"/>
    <n v="430"/>
    <x v="0"/>
  </r>
  <r>
    <s v="AP10162"/>
    <s v="TechMart"/>
    <d v="2024-02-03T00:00:00"/>
    <d v="2024-03-04T00:00:00"/>
    <n v="3588.69"/>
    <s v="AUD"/>
    <s v="Partial"/>
    <s v="NA"/>
    <s v="Net 30"/>
    <n v="839"/>
    <x v="0"/>
  </r>
  <r>
    <s v="AP10163"/>
    <s v="TechMart"/>
    <d v="2024-10-21T00:00:00"/>
    <d v="2024-11-20T00:00:00"/>
    <n v="2407.4"/>
    <s v="CAD"/>
    <s v="Partial"/>
    <s v="NA"/>
    <s v="Net 30"/>
    <n v="578"/>
    <x v="0"/>
  </r>
  <r>
    <s v="AP10164"/>
    <s v="TechMart"/>
    <d v="2023-04-01T00:00:00"/>
    <d v="2023-05-01T00:00:00"/>
    <n v="649.78"/>
    <s v="CAD"/>
    <s v="Partial"/>
    <s v="NA"/>
    <s v="Net 30"/>
    <n v="1147"/>
    <x v="0"/>
  </r>
  <r>
    <s v="AP10165"/>
    <s v="ABC Supplies"/>
    <d v="2024-09-14T00:00:00"/>
    <d v="2024-10-14T00:00:00"/>
    <n v="143.83000000000001"/>
    <s v="CAD"/>
    <s v="Paid"/>
    <d v="2024-10-14T00:00:00"/>
    <s v="Net 30"/>
    <n v="615"/>
    <x v="1"/>
  </r>
  <r>
    <s v="AP10166"/>
    <s v="Global Office"/>
    <d v="2025-06-05T00:00:00"/>
    <d v="2025-07-05T00:00:00"/>
    <n v="1041.99"/>
    <s v="USD"/>
    <s v="Open"/>
    <s v="NA"/>
    <s v="Net 30"/>
    <n v="351"/>
    <x v="0"/>
  </r>
  <r>
    <s v="AP10167"/>
    <s v="BluePrints"/>
    <d v="2023-06-11T00:00:00"/>
    <d v="2023-07-11T00:00:00"/>
    <n v="2826"/>
    <s v="CAD"/>
    <s v="Open"/>
    <s v="NA"/>
    <s v="Net 30"/>
    <n v="1076"/>
    <x v="0"/>
  </r>
  <r>
    <s v="AP10168"/>
    <s v="BluePrints"/>
    <d v="2024-12-11T00:00:00"/>
    <d v="2025-01-10T00:00:00"/>
    <n v="3078.5"/>
    <s v="GBP"/>
    <s v="Paid"/>
    <d v="2025-01-10T00:00:00"/>
    <s v="Net 30"/>
    <n v="527"/>
    <x v="1"/>
  </r>
  <r>
    <s v="AP10169"/>
    <s v="Fast Travel"/>
    <d v="2025-04-01T00:00:00"/>
    <d v="2025-05-01T00:00:00"/>
    <n v="3139.88"/>
    <s v="AUD"/>
    <s v="Partial"/>
    <s v="NA"/>
    <s v="Net 30"/>
    <n v="416"/>
    <x v="0"/>
  </r>
  <r>
    <s v="AP10170"/>
    <s v="TechMart"/>
    <d v="2023-04-27T00:00:00"/>
    <d v="2023-05-27T00:00:00"/>
    <n v="4899.6400000000003"/>
    <s v="AUD"/>
    <s v="Paid"/>
    <d v="2023-05-27T00:00:00"/>
    <s v="Net 30"/>
    <n v="1121"/>
    <x v="1"/>
  </r>
  <r>
    <s v="AP10171"/>
    <s v="BluePrints"/>
    <d v="2024-12-09T00:00:00"/>
    <d v="2025-01-08T00:00:00"/>
    <n v="3205.33"/>
    <s v="USD"/>
    <s v="Partial"/>
    <s v="NA"/>
    <s v="Net 30"/>
    <n v="529"/>
    <x v="0"/>
  </r>
  <r>
    <s v="AP10172"/>
    <s v="ABC Supplies"/>
    <d v="2024-11-09T00:00:00"/>
    <d v="2024-12-09T00:00:00"/>
    <n v="1285.77"/>
    <s v="USD"/>
    <s v="Partial"/>
    <s v="NA"/>
    <s v="Net 30"/>
    <n v="559"/>
    <x v="0"/>
  </r>
  <r>
    <s v="AP10173"/>
    <s v="BluePrints"/>
    <d v="2025-06-20T00:00:00"/>
    <d v="2025-07-20T00:00:00"/>
    <n v="216.78"/>
    <s v="USD"/>
    <s v="Partial"/>
    <s v="NA"/>
    <s v="Net 30"/>
    <n v="336"/>
    <x v="0"/>
  </r>
  <r>
    <s v="AP10174"/>
    <s v="TechMart"/>
    <d v="2023-03-05T00:00:00"/>
    <d v="2023-04-04T00:00:00"/>
    <n v="4512.7700000000004"/>
    <s v="CAD"/>
    <s v="Partial"/>
    <s v="NA"/>
    <s v="Net 30"/>
    <n v="1174"/>
    <x v="0"/>
  </r>
  <r>
    <s v="AP10175"/>
    <s v="Fast Travel"/>
    <d v="2023-11-11T00:00:00"/>
    <d v="2023-12-11T00:00:00"/>
    <n v="4283.63"/>
    <s v="AUD"/>
    <s v="Paid"/>
    <d v="2023-12-11T00:00:00"/>
    <s v="Net 30"/>
    <n v="923"/>
    <x v="1"/>
  </r>
  <r>
    <s v="AP10176"/>
    <s v="BluePrints"/>
    <d v="2024-09-29T00:00:00"/>
    <d v="2024-10-29T00:00:00"/>
    <n v="370.46"/>
    <s v="CAD"/>
    <s v="Paid"/>
    <d v="2024-10-29T00:00:00"/>
    <s v="Net 30"/>
    <n v="600"/>
    <x v="1"/>
  </r>
  <r>
    <s v="AP10177"/>
    <s v="Global Office"/>
    <d v="2024-06-10T00:00:00"/>
    <d v="2024-07-10T00:00:00"/>
    <n v="3313.07"/>
    <s v="EUR"/>
    <s v="Open"/>
    <s v="NA"/>
    <s v="Net 30"/>
    <n v="711"/>
    <x v="0"/>
  </r>
  <r>
    <s v="AP10178"/>
    <s v="ABC Supplies"/>
    <d v="2023-11-23T00:00:00"/>
    <d v="2023-12-23T00:00:00"/>
    <n v="4616.42"/>
    <s v="USD"/>
    <s v="Paid"/>
    <d v="2023-12-23T00:00:00"/>
    <s v="Net 30"/>
    <n v="911"/>
    <x v="1"/>
  </r>
  <r>
    <s v="AP10179"/>
    <s v="ABC Supplies"/>
    <d v="2023-03-13T00:00:00"/>
    <d v="2023-04-12T00:00:00"/>
    <n v="1731.08"/>
    <s v="USD"/>
    <s v="Open"/>
    <s v="NA"/>
    <s v="Net 30"/>
    <n v="1166"/>
    <x v="0"/>
  </r>
  <r>
    <s v="AP10180"/>
    <s v="BluePrints"/>
    <d v="2025-02-05T00:00:00"/>
    <d v="2025-03-07T00:00:00"/>
    <n v="4027.83"/>
    <s v="CAD"/>
    <s v="Partial"/>
    <s v="NA"/>
    <s v="Net 30"/>
    <n v="471"/>
    <x v="0"/>
  </r>
  <r>
    <s v="AP10181"/>
    <s v="TechMart"/>
    <d v="2024-07-25T00:00:00"/>
    <d v="2024-08-24T00:00:00"/>
    <n v="1770.47"/>
    <s v="CAD"/>
    <s v="Paid"/>
    <d v="2024-08-24T00:00:00"/>
    <s v="Net 30"/>
    <n v="666"/>
    <x v="1"/>
  </r>
  <r>
    <s v="AP10182"/>
    <s v="Fast Travel"/>
    <d v="2024-12-20T00:00:00"/>
    <d v="2025-01-19T00:00:00"/>
    <n v="4140.83"/>
    <s v="EUR"/>
    <s v="Paid"/>
    <d v="2025-01-19T00:00:00"/>
    <s v="Net 30"/>
    <n v="518"/>
    <x v="1"/>
  </r>
  <r>
    <s v="AP10183"/>
    <s v="ABC Supplies"/>
    <d v="2025-04-16T00:00:00"/>
    <d v="2025-05-16T00:00:00"/>
    <n v="606.74"/>
    <s v="EUR"/>
    <s v="Partial"/>
    <s v="NA"/>
    <s v="Net 30"/>
    <n v="401"/>
    <x v="0"/>
  </r>
  <r>
    <s v="AP10184"/>
    <s v="TechMart"/>
    <d v="2023-02-04T00:00:00"/>
    <d v="2023-03-06T00:00:00"/>
    <n v="3488.56"/>
    <s v="GBP"/>
    <s v="Open"/>
    <s v="NA"/>
    <s v="Net 30"/>
    <n v="1203"/>
    <x v="0"/>
  </r>
  <r>
    <s v="AP10185"/>
    <s v="ABC Supplies"/>
    <d v="2025-06-22T00:00:00"/>
    <d v="2025-07-22T00:00:00"/>
    <n v="816.61"/>
    <s v="CAD"/>
    <s v="Open"/>
    <s v="NA"/>
    <s v="Net 30"/>
    <n v="334"/>
    <x v="0"/>
  </r>
  <r>
    <s v="AP10186"/>
    <s v="BluePrints"/>
    <d v="2024-05-02T00:00:00"/>
    <d v="2024-06-01T00:00:00"/>
    <n v="2178.88"/>
    <s v="GBP"/>
    <s v="Paid"/>
    <d v="2024-06-01T00:00:00"/>
    <s v="Net 30"/>
    <n v="750"/>
    <x v="1"/>
  </r>
  <r>
    <s v="AP10187"/>
    <s v="Fast Travel"/>
    <d v="2023-12-19T00:00:00"/>
    <d v="2024-01-18T00:00:00"/>
    <n v="4356.53"/>
    <s v="USD"/>
    <s v="Partial"/>
    <s v="NA"/>
    <s v="Net 30"/>
    <n v="885"/>
    <x v="0"/>
  </r>
  <r>
    <s v="AP10188"/>
    <s v="BluePrints"/>
    <d v="2024-04-17T00:00:00"/>
    <d v="2024-05-17T00:00:00"/>
    <n v="2905.63"/>
    <s v="AUD"/>
    <s v="Open"/>
    <s v="NA"/>
    <s v="Net 30"/>
    <n v="765"/>
    <x v="0"/>
  </r>
  <r>
    <s v="AP10189"/>
    <s v="Global Office"/>
    <d v="2024-05-02T00:00:00"/>
    <d v="2024-06-01T00:00:00"/>
    <n v="940.95"/>
    <s v="CAD"/>
    <s v="Paid"/>
    <d v="2024-06-01T00:00:00"/>
    <s v="Net 30"/>
    <n v="750"/>
    <x v="1"/>
  </r>
  <r>
    <s v="AP10190"/>
    <s v="ABC Supplies"/>
    <d v="2023-02-17T00:00:00"/>
    <d v="2023-03-19T00:00:00"/>
    <n v="4744.18"/>
    <s v="AUD"/>
    <s v="Partial"/>
    <s v="NA"/>
    <s v="Net 30"/>
    <n v="1190"/>
    <x v="0"/>
  </r>
  <r>
    <s v="AP10191"/>
    <s v="Global Office"/>
    <d v="2025-02-22T00:00:00"/>
    <d v="2025-03-24T00:00:00"/>
    <n v="147.49"/>
    <s v="AUD"/>
    <s v="Paid"/>
    <d v="2025-03-24T00:00:00"/>
    <s v="Net 30"/>
    <n v="454"/>
    <x v="1"/>
  </r>
  <r>
    <s v="AP10192"/>
    <s v="TechMart"/>
    <d v="2025-06-09T00:00:00"/>
    <d v="2025-07-09T00:00:00"/>
    <n v="495.23"/>
    <s v="CAD"/>
    <s v="Partial"/>
    <s v="NA"/>
    <s v="Net 30"/>
    <n v="347"/>
    <x v="0"/>
  </r>
  <r>
    <s v="AP10193"/>
    <s v="Global Office"/>
    <d v="2023-05-30T00:00:00"/>
    <d v="2023-06-29T00:00:00"/>
    <n v="2497.87"/>
    <s v="GBP"/>
    <s v="Partial"/>
    <s v="NA"/>
    <s v="Net 30"/>
    <n v="1088"/>
    <x v="0"/>
  </r>
  <r>
    <s v="AP10194"/>
    <s v="TechMart"/>
    <d v="2024-06-11T00:00:00"/>
    <d v="2024-07-11T00:00:00"/>
    <n v="1407.52"/>
    <s v="CAD"/>
    <s v="Open"/>
    <s v="NA"/>
    <s v="Net 30"/>
    <n v="710"/>
    <x v="0"/>
  </r>
  <r>
    <s v="AP10195"/>
    <s v="TechMart"/>
    <d v="2025-03-07T00:00:00"/>
    <d v="2025-04-06T00:00:00"/>
    <n v="2632.28"/>
    <s v="AUD"/>
    <s v="Partial"/>
    <s v="NA"/>
    <s v="Net 30"/>
    <n v="441"/>
    <x v="0"/>
  </r>
  <r>
    <s v="AP10196"/>
    <s v="Fast Travel"/>
    <d v="2024-04-02T00:00:00"/>
    <d v="2024-05-02T00:00:00"/>
    <n v="3255.92"/>
    <s v="GBP"/>
    <s v="Open"/>
    <s v="NA"/>
    <s v="Net 30"/>
    <n v="780"/>
    <x v="0"/>
  </r>
  <r>
    <s v="AP10197"/>
    <s v="BluePrints"/>
    <d v="2023-09-21T00:00:00"/>
    <d v="2023-10-21T00:00:00"/>
    <n v="392.7"/>
    <s v="USD"/>
    <s v="Paid"/>
    <d v="2023-10-21T00:00:00"/>
    <s v="Net 30"/>
    <n v="974"/>
    <x v="1"/>
  </r>
  <r>
    <s v="AP10198"/>
    <s v="Fast Travel"/>
    <d v="2024-04-06T00:00:00"/>
    <d v="2024-05-06T00:00:00"/>
    <n v="4366.6499999999996"/>
    <s v="USD"/>
    <s v="Partial"/>
    <s v="NA"/>
    <s v="Net 30"/>
    <n v="776"/>
    <x v="0"/>
  </r>
  <r>
    <s v="AP10199"/>
    <s v="TechMart"/>
    <d v="2024-03-21T00:00:00"/>
    <d v="2024-04-20T00:00:00"/>
    <n v="1348.94"/>
    <s v="EUR"/>
    <s v="Paid"/>
    <d v="2024-04-20T00:00:00"/>
    <s v="Net 30"/>
    <n v="792"/>
    <x v="1"/>
  </r>
  <r>
    <s v="AP10200"/>
    <s v="Global Office"/>
    <d v="2025-06-29T00:00:00"/>
    <d v="2025-07-29T00:00:00"/>
    <n v="4373.5200000000004"/>
    <s v="GBP"/>
    <s v="Open"/>
    <s v="NA"/>
    <s v="Net 30"/>
    <n v="327"/>
    <x v="0"/>
  </r>
  <r>
    <s v="AP10201"/>
    <s v="Global Office"/>
    <d v="2023-11-02T00:00:00"/>
    <d v="2023-12-02T00:00:00"/>
    <n v="3414.97"/>
    <s v="USD"/>
    <s v="Paid"/>
    <d v="2023-12-02T00:00:00"/>
    <s v="Net 30"/>
    <n v="932"/>
    <x v="1"/>
  </r>
  <r>
    <s v="AP10202"/>
    <s v="Global Office"/>
    <d v="2025-01-08T00:00:00"/>
    <d v="2025-02-07T00:00:00"/>
    <n v="1646.53"/>
    <s v="CAD"/>
    <s v="Paid"/>
    <d v="2025-02-07T00:00:00"/>
    <s v="Net 30"/>
    <n v="499"/>
    <x v="1"/>
  </r>
  <r>
    <s v="AP10203"/>
    <s v="Fast Travel"/>
    <d v="2025-03-11T00:00:00"/>
    <d v="2025-04-10T00:00:00"/>
    <n v="2688.88"/>
    <s v="EUR"/>
    <s v="Open"/>
    <s v="NA"/>
    <s v="Net 30"/>
    <n v="437"/>
    <x v="0"/>
  </r>
  <r>
    <s v="AP10204"/>
    <s v="ABC Supplies"/>
    <d v="2023-01-07T00:00:00"/>
    <d v="2023-02-06T00:00:00"/>
    <n v="2187.09"/>
    <s v="AUD"/>
    <s v="Partial"/>
    <s v="NA"/>
    <s v="Net 30"/>
    <n v="1231"/>
    <x v="0"/>
  </r>
  <r>
    <s v="AP10205"/>
    <s v="TechMart"/>
    <d v="2025-05-28T00:00:00"/>
    <d v="2025-06-27T00:00:00"/>
    <n v="3171.13"/>
    <s v="USD"/>
    <s v="Paid"/>
    <d v="2025-06-27T00:00:00"/>
    <s v="Net 30"/>
    <n v="359"/>
    <x v="1"/>
  </r>
  <r>
    <s v="AP10206"/>
    <s v="BluePrints"/>
    <d v="2024-05-25T00:00:00"/>
    <d v="2024-06-24T00:00:00"/>
    <n v="2235.4699999999998"/>
    <s v="EUR"/>
    <s v="Paid"/>
    <d v="2024-06-24T00:00:00"/>
    <s v="Net 30"/>
    <n v="727"/>
    <x v="1"/>
  </r>
  <r>
    <s v="AP10207"/>
    <s v="BluePrints"/>
    <d v="2024-06-02T00:00:00"/>
    <d v="2024-07-02T00:00:00"/>
    <n v="4392.95"/>
    <s v="USD"/>
    <s v="Paid"/>
    <d v="2024-07-02T00:00:00"/>
    <s v="Net 30"/>
    <n v="719"/>
    <x v="1"/>
  </r>
  <r>
    <s v="AP10208"/>
    <s v="Global Office"/>
    <d v="2023-10-05T00:00:00"/>
    <d v="2023-11-04T00:00:00"/>
    <n v="765.04"/>
    <s v="EUR"/>
    <s v="Paid"/>
    <d v="2023-11-04T00:00:00"/>
    <s v="Net 30"/>
    <n v="960"/>
    <x v="1"/>
  </r>
  <r>
    <s v="AP10209"/>
    <s v="BluePrints"/>
    <d v="2024-04-10T00:00:00"/>
    <d v="2024-05-10T00:00:00"/>
    <n v="4435.17"/>
    <s v="USD"/>
    <s v="Open"/>
    <s v="NA"/>
    <s v="Net 30"/>
    <n v="772"/>
    <x v="0"/>
  </r>
  <r>
    <s v="AP10210"/>
    <s v="BluePrints"/>
    <d v="2023-01-22T00:00:00"/>
    <d v="2023-02-21T00:00:00"/>
    <n v="2626.85"/>
    <s v="CAD"/>
    <s v="Open"/>
    <s v="NA"/>
    <s v="Net 30"/>
    <n v="1216"/>
    <x v="0"/>
  </r>
  <r>
    <s v="AP10211"/>
    <s v="BluePrints"/>
    <d v="2024-06-17T00:00:00"/>
    <d v="2024-07-17T00:00:00"/>
    <n v="4803.24"/>
    <s v="USD"/>
    <s v="Partial"/>
    <s v="NA"/>
    <s v="Net 30"/>
    <n v="704"/>
    <x v="0"/>
  </r>
  <r>
    <s v="AP10212"/>
    <s v="Fast Travel"/>
    <d v="2024-07-23T00:00:00"/>
    <d v="2024-08-22T00:00:00"/>
    <n v="3007.22"/>
    <s v="USD"/>
    <s v="Paid"/>
    <d v="2024-08-22T00:00:00"/>
    <s v="Net 30"/>
    <n v="668"/>
    <x v="1"/>
  </r>
  <r>
    <s v="AP10213"/>
    <s v="BluePrints"/>
    <d v="2025-02-16T00:00:00"/>
    <d v="2025-03-18T00:00:00"/>
    <n v="4929.75"/>
    <s v="CAD"/>
    <s v="Open"/>
    <s v="NA"/>
    <s v="Net 30"/>
    <n v="460"/>
    <x v="0"/>
  </r>
  <r>
    <s v="AP10214"/>
    <s v="Fast Travel"/>
    <d v="2024-06-06T00:00:00"/>
    <d v="2024-07-06T00:00:00"/>
    <n v="1536.2"/>
    <s v="EUR"/>
    <s v="Partial"/>
    <s v="NA"/>
    <s v="Net 30"/>
    <n v="715"/>
    <x v="0"/>
  </r>
  <r>
    <s v="AP10215"/>
    <s v="Fast Travel"/>
    <d v="2024-07-18T00:00:00"/>
    <d v="2024-08-17T00:00:00"/>
    <n v="2978.71"/>
    <s v="GBP"/>
    <s v="Partial"/>
    <s v="NA"/>
    <s v="Net 30"/>
    <n v="673"/>
    <x v="0"/>
  </r>
  <r>
    <s v="AP10216"/>
    <s v="Global Office"/>
    <d v="2024-02-04T00:00:00"/>
    <d v="2024-03-05T00:00:00"/>
    <n v="915.17"/>
    <s v="GBP"/>
    <s v="Paid"/>
    <d v="2024-03-05T00:00:00"/>
    <s v="Net 30"/>
    <n v="838"/>
    <x v="1"/>
  </r>
  <r>
    <s v="AP10217"/>
    <s v="Fast Travel"/>
    <d v="2023-07-02T00:00:00"/>
    <d v="2023-08-01T00:00:00"/>
    <n v="3188.52"/>
    <s v="GBP"/>
    <s v="Partial"/>
    <s v="NA"/>
    <s v="Net 30"/>
    <n v="1055"/>
    <x v="0"/>
  </r>
  <r>
    <s v="AP10218"/>
    <s v="ABC Supplies"/>
    <d v="2024-05-20T00:00:00"/>
    <d v="2024-06-19T00:00:00"/>
    <n v="2307.79"/>
    <s v="USD"/>
    <s v="Partial"/>
    <s v="NA"/>
    <s v="Net 30"/>
    <n v="732"/>
    <x v="0"/>
  </r>
  <r>
    <s v="AP10219"/>
    <s v="ABC Supplies"/>
    <d v="2023-11-21T00:00:00"/>
    <d v="2023-12-21T00:00:00"/>
    <n v="2903.71"/>
    <s v="EUR"/>
    <s v="Partial"/>
    <s v="NA"/>
    <s v="Net 30"/>
    <n v="913"/>
    <x v="0"/>
  </r>
  <r>
    <s v="AP10220"/>
    <s v="ABC Supplies"/>
    <d v="2024-05-20T00:00:00"/>
    <d v="2024-06-19T00:00:00"/>
    <n v="2565.02"/>
    <s v="USD"/>
    <s v="Partial"/>
    <s v="NA"/>
    <s v="Net 30"/>
    <n v="732"/>
    <x v="0"/>
  </r>
  <r>
    <s v="AP10221"/>
    <s v="Fast Travel"/>
    <d v="2025-05-13T00:00:00"/>
    <d v="2025-06-12T00:00:00"/>
    <n v="2121.21"/>
    <s v="USD"/>
    <s v="Open"/>
    <s v="NA"/>
    <s v="Net 30"/>
    <n v="374"/>
    <x v="0"/>
  </r>
  <r>
    <s v="AP10222"/>
    <s v="Fast Travel"/>
    <d v="2025-04-01T00:00:00"/>
    <d v="2025-05-01T00:00:00"/>
    <n v="1273.9000000000001"/>
    <s v="EUR"/>
    <s v="Open"/>
    <s v="NA"/>
    <s v="Net 30"/>
    <n v="416"/>
    <x v="0"/>
  </r>
  <r>
    <s v="AP10223"/>
    <s v="Fast Travel"/>
    <d v="2025-02-23T00:00:00"/>
    <d v="2025-03-25T00:00:00"/>
    <n v="3975.5"/>
    <s v="AUD"/>
    <s v="Open"/>
    <s v="NA"/>
    <s v="Net 30"/>
    <n v="453"/>
    <x v="0"/>
  </r>
  <r>
    <s v="AP10224"/>
    <s v="BluePrints"/>
    <d v="2024-10-23T00:00:00"/>
    <d v="2024-11-22T00:00:00"/>
    <n v="2421.44"/>
    <s v="AUD"/>
    <s v="Open"/>
    <s v="NA"/>
    <s v="Net 30"/>
    <n v="576"/>
    <x v="0"/>
  </r>
  <r>
    <s v="AP10225"/>
    <s v="BluePrints"/>
    <d v="2025-01-31T00:00:00"/>
    <d v="2025-03-02T00:00:00"/>
    <n v="2458.0100000000002"/>
    <s v="EUR"/>
    <s v="Open"/>
    <s v="NA"/>
    <s v="Net 30"/>
    <n v="476"/>
    <x v="0"/>
  </r>
  <r>
    <s v="AP10226"/>
    <s v="BluePrints"/>
    <d v="2023-07-29T00:00:00"/>
    <d v="2023-08-28T00:00:00"/>
    <n v="2854.39"/>
    <s v="EUR"/>
    <s v="Paid"/>
    <d v="2023-08-28T00:00:00"/>
    <s v="Net 30"/>
    <n v="1028"/>
    <x v="1"/>
  </r>
  <r>
    <s v="AP10227"/>
    <s v="Fast Travel"/>
    <d v="2024-01-28T00:00:00"/>
    <d v="2024-02-27T00:00:00"/>
    <n v="2918.95"/>
    <s v="EUR"/>
    <s v="Open"/>
    <s v="NA"/>
    <s v="Net 30"/>
    <n v="845"/>
    <x v="0"/>
  </r>
  <r>
    <s v="AP10228"/>
    <s v="Global Office"/>
    <d v="2023-03-12T00:00:00"/>
    <d v="2023-04-11T00:00:00"/>
    <n v="328.97"/>
    <s v="USD"/>
    <s v="Paid"/>
    <d v="2023-04-11T00:00:00"/>
    <s v="Net 30"/>
    <n v="1167"/>
    <x v="1"/>
  </r>
  <r>
    <s v="AP10229"/>
    <s v="Global Office"/>
    <d v="2024-08-19T00:00:00"/>
    <d v="2024-09-18T00:00:00"/>
    <n v="1213.71"/>
    <s v="USD"/>
    <s v="Open"/>
    <s v="NA"/>
    <s v="Net 30"/>
    <n v="641"/>
    <x v="0"/>
  </r>
  <r>
    <s v="AP10230"/>
    <s v="ABC Supplies"/>
    <d v="2025-04-25T00:00:00"/>
    <d v="2025-05-25T00:00:00"/>
    <n v="454.59"/>
    <s v="USD"/>
    <s v="Open"/>
    <s v="NA"/>
    <s v="Net 30"/>
    <n v="392"/>
    <x v="0"/>
  </r>
  <r>
    <s v="AP10231"/>
    <s v="ABC Supplies"/>
    <d v="2023-04-24T00:00:00"/>
    <d v="2023-05-24T00:00:00"/>
    <n v="4278.37"/>
    <s v="CAD"/>
    <s v="Paid"/>
    <d v="2023-05-24T00:00:00"/>
    <s v="Net 30"/>
    <n v="1124"/>
    <x v="1"/>
  </r>
  <r>
    <s v="AP10232"/>
    <s v="BluePrints"/>
    <d v="2024-08-20T00:00:00"/>
    <d v="2024-09-19T00:00:00"/>
    <n v="3048.16"/>
    <s v="USD"/>
    <s v="Open"/>
    <s v="NA"/>
    <s v="Net 30"/>
    <n v="640"/>
    <x v="0"/>
  </r>
  <r>
    <s v="AP10233"/>
    <s v="Global Office"/>
    <d v="2023-05-19T00:00:00"/>
    <d v="2023-06-18T00:00:00"/>
    <n v="4611.88"/>
    <s v="AUD"/>
    <s v="Partial"/>
    <s v="NA"/>
    <s v="Net 30"/>
    <n v="1099"/>
    <x v="0"/>
  </r>
  <r>
    <s v="AP10234"/>
    <s v="BluePrints"/>
    <d v="2024-01-24T00:00:00"/>
    <d v="2024-02-23T00:00:00"/>
    <n v="2206.77"/>
    <s v="USD"/>
    <s v="Open"/>
    <s v="NA"/>
    <s v="Net 30"/>
    <n v="849"/>
    <x v="0"/>
  </r>
  <r>
    <s v="AP10235"/>
    <s v="BluePrints"/>
    <d v="2023-12-09T00:00:00"/>
    <d v="2024-01-08T00:00:00"/>
    <n v="1191.52"/>
    <s v="USD"/>
    <s v="Paid"/>
    <d v="2024-01-08T00:00:00"/>
    <s v="Net 30"/>
    <n v="895"/>
    <x v="1"/>
  </r>
  <r>
    <s v="AP10236"/>
    <s v="BluePrints"/>
    <d v="2023-01-12T00:00:00"/>
    <d v="2023-02-11T00:00:00"/>
    <n v="1715.9"/>
    <s v="CAD"/>
    <s v="Partial"/>
    <s v="NA"/>
    <s v="Net 30"/>
    <n v="1226"/>
    <x v="0"/>
  </r>
  <r>
    <s v="AP10237"/>
    <s v="Fast Travel"/>
    <d v="2023-01-30T00:00:00"/>
    <d v="2023-03-01T00:00:00"/>
    <n v="2281.3000000000002"/>
    <s v="GBP"/>
    <s v="Paid"/>
    <d v="2023-03-01T00:00:00"/>
    <s v="Net 30"/>
    <n v="1208"/>
    <x v="1"/>
  </r>
  <r>
    <s v="AP10238"/>
    <s v="ABC Supplies"/>
    <d v="2024-03-11T00:00:00"/>
    <d v="2024-04-10T00:00:00"/>
    <n v="3825.33"/>
    <s v="GBP"/>
    <s v="Open"/>
    <s v="NA"/>
    <s v="Net 30"/>
    <n v="802"/>
    <x v="0"/>
  </r>
  <r>
    <s v="AP10239"/>
    <s v="ABC Supplies"/>
    <d v="2023-03-23T00:00:00"/>
    <d v="2023-04-22T00:00:00"/>
    <n v="4771.6000000000004"/>
    <s v="AUD"/>
    <s v="Partial"/>
    <s v="NA"/>
    <s v="Net 30"/>
    <n v="1156"/>
    <x v="0"/>
  </r>
  <r>
    <s v="AP10240"/>
    <s v="ABC Supplies"/>
    <d v="2024-07-01T00:00:00"/>
    <d v="2024-07-31T00:00:00"/>
    <n v="3536.61"/>
    <s v="USD"/>
    <s v="Partial"/>
    <s v="NA"/>
    <s v="Net 30"/>
    <n v="690"/>
    <x v="0"/>
  </r>
  <r>
    <s v="AP10241"/>
    <s v="TechMart"/>
    <d v="2023-06-10T00:00:00"/>
    <d v="2023-07-10T00:00:00"/>
    <n v="4873.4799999999996"/>
    <s v="EUR"/>
    <s v="Paid"/>
    <d v="2023-07-10T00:00:00"/>
    <s v="Net 30"/>
    <n v="1077"/>
    <x v="1"/>
  </r>
  <r>
    <s v="AP10242"/>
    <s v="BluePrints"/>
    <d v="2024-11-22T00:00:00"/>
    <d v="2024-12-22T00:00:00"/>
    <n v="3763.83"/>
    <s v="AUD"/>
    <s v="Partial"/>
    <s v="NA"/>
    <s v="Net 30"/>
    <n v="546"/>
    <x v="0"/>
  </r>
  <r>
    <s v="AP10243"/>
    <s v="BluePrints"/>
    <d v="2023-04-29T00:00:00"/>
    <d v="2023-05-29T00:00:00"/>
    <n v="1956.76"/>
    <s v="CAD"/>
    <s v="Partial"/>
    <s v="NA"/>
    <s v="Net 30"/>
    <n v="1119"/>
    <x v="0"/>
  </r>
  <r>
    <s v="AP10244"/>
    <s v="BluePrints"/>
    <d v="2024-04-14T00:00:00"/>
    <d v="2024-05-14T00:00:00"/>
    <n v="4541.03"/>
    <s v="AUD"/>
    <s v="Partial"/>
    <s v="NA"/>
    <s v="Net 30"/>
    <n v="768"/>
    <x v="0"/>
  </r>
  <r>
    <s v="AP10245"/>
    <s v="ABC Supplies"/>
    <d v="2023-10-04T00:00:00"/>
    <d v="2023-11-03T00:00:00"/>
    <n v="3118.33"/>
    <s v="USD"/>
    <s v="Partial"/>
    <s v="NA"/>
    <s v="Net 30"/>
    <n v="961"/>
    <x v="0"/>
  </r>
  <r>
    <s v="AP10246"/>
    <s v="ABC Supplies"/>
    <d v="2024-07-30T00:00:00"/>
    <d v="2024-08-29T00:00:00"/>
    <n v="4825.22"/>
    <s v="CAD"/>
    <s v="Paid"/>
    <d v="2024-08-29T00:00:00"/>
    <s v="Net 30"/>
    <n v="661"/>
    <x v="1"/>
  </r>
  <r>
    <s v="AP10247"/>
    <s v="TechMart"/>
    <d v="2025-02-24T00:00:00"/>
    <d v="2025-03-26T00:00:00"/>
    <n v="3534.62"/>
    <s v="AUD"/>
    <s v="Partial"/>
    <s v="NA"/>
    <s v="Net 30"/>
    <n v="452"/>
    <x v="0"/>
  </r>
  <r>
    <s v="AP10248"/>
    <s v="ABC Supplies"/>
    <d v="2023-05-29T00:00:00"/>
    <d v="2023-06-28T00:00:00"/>
    <n v="2784.2"/>
    <s v="GBP"/>
    <s v="Paid"/>
    <d v="2023-06-28T00:00:00"/>
    <s v="Net 30"/>
    <n v="1089"/>
    <x v="1"/>
  </r>
  <r>
    <s v="AP10249"/>
    <s v="Fast Travel"/>
    <d v="2025-05-15T00:00:00"/>
    <d v="2025-06-14T00:00:00"/>
    <n v="4703.79"/>
    <s v="AUD"/>
    <s v="Open"/>
    <s v="NA"/>
    <s v="Net 30"/>
    <n v="372"/>
    <x v="0"/>
  </r>
  <r>
    <s v="AP10250"/>
    <s v="TechMart"/>
    <d v="2024-05-11T00:00:00"/>
    <d v="2024-06-10T00:00:00"/>
    <n v="3586.26"/>
    <s v="AUD"/>
    <s v="Open"/>
    <s v="NA"/>
    <s v="Net 30"/>
    <n v="741"/>
    <x v="0"/>
  </r>
  <r>
    <s v="AP10251"/>
    <s v="BluePrints"/>
    <d v="2024-03-22T00:00:00"/>
    <d v="2024-04-21T00:00:00"/>
    <n v="2609.4499999999998"/>
    <s v="USD"/>
    <s v="Paid"/>
    <d v="2024-04-21T00:00:00"/>
    <s v="Net 30"/>
    <n v="791"/>
    <x v="1"/>
  </r>
  <r>
    <s v="AP10252"/>
    <s v="BluePrints"/>
    <d v="2023-03-14T00:00:00"/>
    <d v="2023-04-13T00:00:00"/>
    <n v="527.17999999999995"/>
    <s v="GBP"/>
    <s v="Paid"/>
    <d v="2023-04-13T00:00:00"/>
    <s v="Net 30"/>
    <n v="1165"/>
    <x v="1"/>
  </r>
  <r>
    <s v="AP10253"/>
    <s v="Global Office"/>
    <d v="2023-06-09T00:00:00"/>
    <d v="2023-07-09T00:00:00"/>
    <n v="3705.03"/>
    <s v="AUD"/>
    <s v="Partial"/>
    <s v="NA"/>
    <s v="Net 30"/>
    <n v="1078"/>
    <x v="0"/>
  </r>
  <r>
    <s v="AP10254"/>
    <s v="BluePrints"/>
    <d v="2024-05-28T00:00:00"/>
    <d v="2024-06-27T00:00:00"/>
    <n v="1274.56"/>
    <s v="AUD"/>
    <s v="Open"/>
    <s v="NA"/>
    <s v="Net 30"/>
    <n v="724"/>
    <x v="0"/>
  </r>
  <r>
    <s v="AP10255"/>
    <s v="Fast Travel"/>
    <d v="2025-06-07T00:00:00"/>
    <d v="2025-07-07T00:00:00"/>
    <n v="928.12"/>
    <s v="EUR"/>
    <s v="Paid"/>
    <d v="2025-07-07T00:00:00"/>
    <s v="Net 30"/>
    <n v="349"/>
    <x v="1"/>
  </r>
  <r>
    <s v="AP10256"/>
    <s v="TechMart"/>
    <d v="2025-02-07T00:00:00"/>
    <d v="2025-03-09T00:00:00"/>
    <n v="3380.41"/>
    <s v="GBP"/>
    <s v="Partial"/>
    <s v="NA"/>
    <s v="Net 30"/>
    <n v="469"/>
    <x v="0"/>
  </r>
  <r>
    <s v="AP10257"/>
    <s v="TechMart"/>
    <d v="2023-01-23T00:00:00"/>
    <d v="2023-02-22T00:00:00"/>
    <n v="489.13"/>
    <s v="EUR"/>
    <s v="Open"/>
    <s v="NA"/>
    <s v="Net 30"/>
    <n v="1215"/>
    <x v="0"/>
  </r>
  <r>
    <s v="AP10258"/>
    <s v="Fast Travel"/>
    <d v="2023-11-07T00:00:00"/>
    <d v="2023-12-07T00:00:00"/>
    <n v="2309.52"/>
    <s v="USD"/>
    <s v="Partial"/>
    <s v="NA"/>
    <s v="Net 30"/>
    <n v="927"/>
    <x v="0"/>
  </r>
  <r>
    <s v="AP10259"/>
    <s v="BluePrints"/>
    <d v="2023-08-28T00:00:00"/>
    <d v="2023-09-27T00:00:00"/>
    <n v="2555.11"/>
    <s v="CAD"/>
    <s v="Open"/>
    <s v="NA"/>
    <s v="Net 30"/>
    <n v="998"/>
    <x v="0"/>
  </r>
  <r>
    <s v="AP10260"/>
    <s v="ABC Supplies"/>
    <d v="2024-03-22T00:00:00"/>
    <d v="2024-04-21T00:00:00"/>
    <n v="3084.27"/>
    <s v="USD"/>
    <s v="Paid"/>
    <d v="2024-04-21T00:00:00"/>
    <s v="Net 30"/>
    <n v="791"/>
    <x v="1"/>
  </r>
  <r>
    <s v="AP10261"/>
    <s v="BluePrints"/>
    <d v="2025-02-05T00:00:00"/>
    <d v="2025-03-07T00:00:00"/>
    <n v="2226.56"/>
    <s v="EUR"/>
    <s v="Paid"/>
    <d v="2025-03-07T00:00:00"/>
    <s v="Net 30"/>
    <n v="471"/>
    <x v="1"/>
  </r>
  <r>
    <s v="AP10262"/>
    <s v="Global Office"/>
    <d v="2024-01-25T00:00:00"/>
    <d v="2024-02-24T00:00:00"/>
    <n v="1081.44"/>
    <s v="AUD"/>
    <s v="Paid"/>
    <d v="2024-02-24T00:00:00"/>
    <s v="Net 30"/>
    <n v="848"/>
    <x v="1"/>
  </r>
  <r>
    <s v="AP10263"/>
    <s v="ABC Supplies"/>
    <d v="2023-06-12T00:00:00"/>
    <d v="2023-07-12T00:00:00"/>
    <n v="985.69"/>
    <s v="USD"/>
    <s v="Partial"/>
    <s v="NA"/>
    <s v="Net 30"/>
    <n v="1075"/>
    <x v="0"/>
  </r>
  <r>
    <s v="AP10264"/>
    <s v="BluePrints"/>
    <d v="2025-05-15T00:00:00"/>
    <d v="2025-06-14T00:00:00"/>
    <n v="4502.04"/>
    <s v="CAD"/>
    <s v="Partial"/>
    <s v="NA"/>
    <s v="Net 30"/>
    <n v="372"/>
    <x v="0"/>
  </r>
  <r>
    <s v="AP10265"/>
    <s v="TechMart"/>
    <d v="2025-01-29T00:00:00"/>
    <d v="2025-02-28T00:00:00"/>
    <n v="1415.18"/>
    <s v="GBP"/>
    <s v="Partial"/>
    <s v="NA"/>
    <s v="Net 30"/>
    <n v="478"/>
    <x v="0"/>
  </r>
  <r>
    <s v="AP10266"/>
    <s v="Global Office"/>
    <d v="2023-10-10T00:00:00"/>
    <d v="2023-11-09T00:00:00"/>
    <n v="3176.41"/>
    <s v="EUR"/>
    <s v="Open"/>
    <s v="NA"/>
    <s v="Net 30"/>
    <n v="955"/>
    <x v="0"/>
  </r>
  <r>
    <s v="AP10267"/>
    <s v="ABC Supplies"/>
    <d v="2023-06-17T00:00:00"/>
    <d v="2023-07-17T00:00:00"/>
    <n v="4887.26"/>
    <s v="USD"/>
    <s v="Open"/>
    <s v="NA"/>
    <s v="Net 30"/>
    <n v="1070"/>
    <x v="0"/>
  </r>
  <r>
    <s v="AP10268"/>
    <s v="Global Office"/>
    <d v="2024-09-10T00:00:00"/>
    <d v="2024-10-10T00:00:00"/>
    <n v="3883.76"/>
    <s v="GBP"/>
    <s v="Partial"/>
    <s v="NA"/>
    <s v="Net 30"/>
    <n v="619"/>
    <x v="0"/>
  </r>
  <r>
    <s v="AP10269"/>
    <s v="Global Office"/>
    <d v="2025-06-12T00:00:00"/>
    <d v="2025-07-12T00:00:00"/>
    <n v="1284.06"/>
    <s v="CAD"/>
    <s v="Open"/>
    <s v="NA"/>
    <s v="Net 30"/>
    <n v="344"/>
    <x v="0"/>
  </r>
  <r>
    <s v="AP10270"/>
    <s v="Global Office"/>
    <d v="2025-06-26T00:00:00"/>
    <d v="2025-07-26T00:00:00"/>
    <n v="4305.1899999999996"/>
    <s v="GBP"/>
    <s v="Paid"/>
    <d v="2025-07-26T00:00:00"/>
    <s v="Net 30"/>
    <n v="330"/>
    <x v="1"/>
  </r>
  <r>
    <s v="AP10271"/>
    <s v="Global Office"/>
    <d v="2023-11-12T00:00:00"/>
    <d v="2023-12-12T00:00:00"/>
    <n v="1810.33"/>
    <s v="AUD"/>
    <s v="Open"/>
    <s v="NA"/>
    <s v="Net 30"/>
    <n v="922"/>
    <x v="0"/>
  </r>
  <r>
    <s v="AP10272"/>
    <s v="BluePrints"/>
    <d v="2024-03-22T00:00:00"/>
    <d v="2024-04-21T00:00:00"/>
    <n v="3741.63"/>
    <s v="EUR"/>
    <s v="Open"/>
    <s v="NA"/>
    <s v="Net 30"/>
    <n v="791"/>
    <x v="0"/>
  </r>
  <r>
    <s v="AP10273"/>
    <s v="Fast Travel"/>
    <d v="2024-01-31T00:00:00"/>
    <d v="2024-03-01T00:00:00"/>
    <n v="2037.12"/>
    <s v="AUD"/>
    <s v="Paid"/>
    <d v="2024-03-01T00:00:00"/>
    <s v="Net 30"/>
    <n v="842"/>
    <x v="1"/>
  </r>
  <r>
    <s v="AP10274"/>
    <s v="Fast Travel"/>
    <d v="2024-02-10T00:00:00"/>
    <d v="2024-03-11T00:00:00"/>
    <n v="970.98"/>
    <s v="USD"/>
    <s v="Open"/>
    <s v="NA"/>
    <s v="Net 30"/>
    <n v="832"/>
    <x v="0"/>
  </r>
  <r>
    <s v="AP10275"/>
    <s v="Global Office"/>
    <d v="2023-03-12T00:00:00"/>
    <d v="2023-04-11T00:00:00"/>
    <n v="743.53"/>
    <s v="AUD"/>
    <s v="Paid"/>
    <d v="2023-04-11T00:00:00"/>
    <s v="Net 30"/>
    <n v="1167"/>
    <x v="1"/>
  </r>
  <r>
    <s v="AP10276"/>
    <s v="ABC Supplies"/>
    <d v="2024-07-05T00:00:00"/>
    <d v="2024-08-04T00:00:00"/>
    <n v="983.96"/>
    <s v="GBP"/>
    <s v="Open"/>
    <s v="NA"/>
    <s v="Net 30"/>
    <n v="686"/>
    <x v="0"/>
  </r>
  <r>
    <s v="AP10277"/>
    <s v="ABC Supplies"/>
    <d v="2024-08-09T00:00:00"/>
    <d v="2024-09-08T00:00:00"/>
    <n v="1917.71"/>
    <s v="GBP"/>
    <s v="Open"/>
    <s v="NA"/>
    <s v="Net 30"/>
    <n v="651"/>
    <x v="0"/>
  </r>
  <r>
    <s v="AP10278"/>
    <s v="BluePrints"/>
    <d v="2024-07-14T00:00:00"/>
    <d v="2024-08-13T00:00:00"/>
    <n v="1199.03"/>
    <s v="USD"/>
    <s v="Partial"/>
    <s v="NA"/>
    <s v="Net 30"/>
    <n v="677"/>
    <x v="0"/>
  </r>
  <r>
    <s v="AP10279"/>
    <s v="ABC Supplies"/>
    <d v="2023-05-11T00:00:00"/>
    <d v="2023-06-10T00:00:00"/>
    <n v="317.85000000000002"/>
    <s v="USD"/>
    <s v="Paid"/>
    <d v="2023-06-10T00:00:00"/>
    <s v="Net 30"/>
    <n v="1107"/>
    <x v="1"/>
  </r>
  <r>
    <s v="AP10280"/>
    <s v="Fast Travel"/>
    <d v="2025-04-06T00:00:00"/>
    <d v="2025-05-06T00:00:00"/>
    <n v="4556.93"/>
    <s v="EUR"/>
    <s v="Partial"/>
    <s v="NA"/>
    <s v="Net 30"/>
    <n v="411"/>
    <x v="0"/>
  </r>
  <r>
    <s v="AP10281"/>
    <s v="BluePrints"/>
    <d v="2024-11-10T00:00:00"/>
    <d v="2024-12-10T00:00:00"/>
    <n v="1600.22"/>
    <s v="GBP"/>
    <s v="Open"/>
    <s v="NA"/>
    <s v="Net 30"/>
    <n v="558"/>
    <x v="0"/>
  </r>
  <r>
    <s v="AP10282"/>
    <s v="Fast Travel"/>
    <d v="2023-02-17T00:00:00"/>
    <d v="2023-03-19T00:00:00"/>
    <n v="2011.23"/>
    <s v="GBP"/>
    <s v="Open"/>
    <s v="NA"/>
    <s v="Net 30"/>
    <n v="1190"/>
    <x v="0"/>
  </r>
  <r>
    <s v="AP10283"/>
    <s v="Fast Travel"/>
    <d v="2024-10-16T00:00:00"/>
    <d v="2024-11-15T00:00:00"/>
    <n v="2093.29"/>
    <s v="CAD"/>
    <s v="Open"/>
    <s v="NA"/>
    <s v="Net 30"/>
    <n v="583"/>
    <x v="0"/>
  </r>
  <r>
    <s v="AP10284"/>
    <s v="TechMart"/>
    <d v="2025-04-05T00:00:00"/>
    <d v="2025-05-05T00:00:00"/>
    <n v="4095"/>
    <s v="CAD"/>
    <s v="Partial"/>
    <s v="NA"/>
    <s v="Net 30"/>
    <n v="412"/>
    <x v="0"/>
  </r>
  <r>
    <s v="AP10285"/>
    <s v="BluePrints"/>
    <d v="2024-01-11T00:00:00"/>
    <d v="2024-02-10T00:00:00"/>
    <n v="3459.29"/>
    <s v="GBP"/>
    <s v="Partial"/>
    <s v="NA"/>
    <s v="Net 30"/>
    <n v="862"/>
    <x v="0"/>
  </r>
  <r>
    <s v="AP10286"/>
    <s v="Fast Travel"/>
    <d v="2023-10-26T00:00:00"/>
    <d v="2023-11-25T00:00:00"/>
    <n v="310.83999999999997"/>
    <s v="USD"/>
    <s v="Paid"/>
    <d v="2023-11-25T00:00:00"/>
    <s v="Net 30"/>
    <n v="939"/>
    <x v="1"/>
  </r>
  <r>
    <s v="AP10287"/>
    <s v="ABC Supplies"/>
    <d v="2024-09-24T00:00:00"/>
    <d v="2024-10-24T00:00:00"/>
    <n v="929.39"/>
    <s v="EUR"/>
    <s v="Partial"/>
    <s v="NA"/>
    <s v="Net 30"/>
    <n v="605"/>
    <x v="0"/>
  </r>
  <r>
    <s v="AP10288"/>
    <s v="TechMart"/>
    <d v="2023-03-16T00:00:00"/>
    <d v="2023-04-15T00:00:00"/>
    <n v="4087.15"/>
    <s v="USD"/>
    <s v="Paid"/>
    <d v="2023-04-15T00:00:00"/>
    <s v="Net 30"/>
    <n v="1163"/>
    <x v="1"/>
  </r>
  <r>
    <s v="AP10289"/>
    <s v="Global Office"/>
    <d v="2025-03-25T00:00:00"/>
    <d v="2025-04-24T00:00:00"/>
    <n v="2351.0300000000002"/>
    <s v="CAD"/>
    <s v="Open"/>
    <s v="NA"/>
    <s v="Net 30"/>
    <n v="423"/>
    <x v="0"/>
  </r>
  <r>
    <s v="AP10290"/>
    <s v="TechMart"/>
    <d v="2023-08-14T00:00:00"/>
    <d v="2023-09-13T00:00:00"/>
    <n v="4799.5"/>
    <s v="GBP"/>
    <s v="Paid"/>
    <d v="2023-09-13T00:00:00"/>
    <s v="Net 30"/>
    <n v="1012"/>
    <x v="1"/>
  </r>
  <r>
    <s v="AP10291"/>
    <s v="TechMart"/>
    <d v="2023-06-28T00:00:00"/>
    <d v="2023-07-28T00:00:00"/>
    <n v="2284.77"/>
    <s v="AUD"/>
    <s v="Open"/>
    <s v="NA"/>
    <s v="Net 30"/>
    <n v="1059"/>
    <x v="0"/>
  </r>
  <r>
    <s v="AP10292"/>
    <s v="Fast Travel"/>
    <d v="2023-08-04T00:00:00"/>
    <d v="2023-09-03T00:00:00"/>
    <n v="2951.68"/>
    <s v="AUD"/>
    <s v="Paid"/>
    <d v="2023-09-03T00:00:00"/>
    <s v="Net 30"/>
    <n v="1022"/>
    <x v="1"/>
  </r>
  <r>
    <s v="AP10293"/>
    <s v="ABC Supplies"/>
    <d v="2024-06-14T00:00:00"/>
    <d v="2024-07-14T00:00:00"/>
    <n v="4227.92"/>
    <s v="AUD"/>
    <s v="Partial"/>
    <s v="NA"/>
    <s v="Net 30"/>
    <n v="707"/>
    <x v="0"/>
  </r>
  <r>
    <s v="AP10294"/>
    <s v="TechMart"/>
    <d v="2024-11-21T00:00:00"/>
    <d v="2024-12-21T00:00:00"/>
    <n v="1060.77"/>
    <s v="AUD"/>
    <s v="Paid"/>
    <d v="2024-12-21T00:00:00"/>
    <s v="Net 30"/>
    <n v="547"/>
    <x v="1"/>
  </r>
  <r>
    <s v="AP10295"/>
    <s v="BluePrints"/>
    <d v="2023-12-25T00:00:00"/>
    <d v="2024-01-24T00:00:00"/>
    <n v="4147.42"/>
    <s v="AUD"/>
    <s v="Partial"/>
    <s v="NA"/>
    <s v="Net 30"/>
    <n v="879"/>
    <x v="0"/>
  </r>
  <r>
    <s v="AP10296"/>
    <s v="ABC Supplies"/>
    <d v="2023-10-07T00:00:00"/>
    <d v="2023-11-06T00:00:00"/>
    <n v="4406.58"/>
    <s v="GBP"/>
    <s v="Paid"/>
    <d v="2023-11-06T00:00:00"/>
    <s v="Net 30"/>
    <n v="958"/>
    <x v="1"/>
  </r>
  <r>
    <s v="AP10297"/>
    <s v="Global Office"/>
    <d v="2023-05-23T00:00:00"/>
    <d v="2023-06-22T00:00:00"/>
    <n v="3855.44"/>
    <s v="CAD"/>
    <s v="Open"/>
    <s v="NA"/>
    <s v="Net 30"/>
    <n v="1095"/>
    <x v="0"/>
  </r>
  <r>
    <s v="AP10298"/>
    <s v="ABC Supplies"/>
    <d v="2025-04-26T00:00:00"/>
    <d v="2025-05-26T00:00:00"/>
    <n v="1239.49"/>
    <s v="CAD"/>
    <s v="Open"/>
    <s v="NA"/>
    <s v="Net 30"/>
    <n v="391"/>
    <x v="0"/>
  </r>
  <r>
    <s v="AP10299"/>
    <s v="Global Office"/>
    <d v="2025-06-11T00:00:00"/>
    <d v="2025-07-11T00:00:00"/>
    <n v="4842.93"/>
    <s v="AUD"/>
    <s v="Open"/>
    <s v="NA"/>
    <s v="Net 30"/>
    <n v="345"/>
    <x v="0"/>
  </r>
  <r>
    <s v="AP10300"/>
    <s v="BluePrints"/>
    <d v="2025-06-25T00:00:00"/>
    <d v="2025-07-25T00:00:00"/>
    <n v="1477.77"/>
    <s v="USD"/>
    <s v="Open"/>
    <s v="NA"/>
    <s v="Net 30"/>
    <n v="331"/>
    <x v="0"/>
  </r>
  <r>
    <s v="AP10301"/>
    <s v="Fast Travel"/>
    <d v="2025-03-01T00:00:00"/>
    <d v="2025-03-31T00:00:00"/>
    <n v="4772.12"/>
    <s v="USD"/>
    <s v="Paid"/>
    <d v="2025-03-31T00:00:00"/>
    <s v="Net 30"/>
    <n v="447"/>
    <x v="1"/>
  </r>
  <r>
    <s v="AP10302"/>
    <s v="TechMart"/>
    <d v="2023-04-19T00:00:00"/>
    <d v="2023-05-19T00:00:00"/>
    <n v="2860.03"/>
    <s v="AUD"/>
    <s v="Paid"/>
    <d v="2023-05-19T00:00:00"/>
    <s v="Net 30"/>
    <n v="1129"/>
    <x v="1"/>
  </r>
  <r>
    <s v="AP10303"/>
    <s v="TechMart"/>
    <d v="2024-07-31T00:00:00"/>
    <d v="2024-08-30T00:00:00"/>
    <n v="1886.55"/>
    <s v="AUD"/>
    <s v="Partial"/>
    <s v="NA"/>
    <s v="Net 30"/>
    <n v="660"/>
    <x v="0"/>
  </r>
  <r>
    <s v="AP10304"/>
    <s v="BluePrints"/>
    <d v="2024-06-06T00:00:00"/>
    <d v="2024-07-06T00:00:00"/>
    <n v="4336.49"/>
    <s v="AUD"/>
    <s v="Open"/>
    <s v="NA"/>
    <s v="Net 30"/>
    <n v="715"/>
    <x v="0"/>
  </r>
  <r>
    <s v="AP10305"/>
    <s v="BluePrints"/>
    <d v="2023-11-26T00:00:00"/>
    <d v="2023-12-26T00:00:00"/>
    <n v="4046.8"/>
    <s v="USD"/>
    <s v="Partial"/>
    <s v="NA"/>
    <s v="Net 30"/>
    <n v="908"/>
    <x v="0"/>
  </r>
  <r>
    <s v="AP10306"/>
    <s v="BluePrints"/>
    <d v="2025-05-10T00:00:00"/>
    <d v="2025-06-09T00:00:00"/>
    <n v="3387.6"/>
    <s v="AUD"/>
    <s v="Paid"/>
    <d v="2025-06-09T00:00:00"/>
    <s v="Net 30"/>
    <n v="377"/>
    <x v="1"/>
  </r>
  <r>
    <s v="AP10307"/>
    <s v="Global Office"/>
    <d v="2025-01-22T00:00:00"/>
    <d v="2025-02-21T00:00:00"/>
    <n v="4207.8599999999997"/>
    <s v="EUR"/>
    <s v="Open"/>
    <s v="NA"/>
    <s v="Net 30"/>
    <n v="485"/>
    <x v="0"/>
  </r>
  <r>
    <s v="AP10308"/>
    <s v="TechMart"/>
    <d v="2024-01-29T00:00:00"/>
    <d v="2024-02-28T00:00:00"/>
    <n v="2784.29"/>
    <s v="CAD"/>
    <s v="Open"/>
    <s v="NA"/>
    <s v="Net 30"/>
    <n v="844"/>
    <x v="0"/>
  </r>
  <r>
    <s v="AP10309"/>
    <s v="TechMart"/>
    <d v="2024-10-11T00:00:00"/>
    <d v="2024-11-10T00:00:00"/>
    <n v="2721.22"/>
    <s v="GBP"/>
    <s v="Partial"/>
    <s v="NA"/>
    <s v="Net 30"/>
    <n v="588"/>
    <x v="0"/>
  </r>
  <r>
    <s v="AP10310"/>
    <s v="Fast Travel"/>
    <d v="2023-03-08T00:00:00"/>
    <d v="2023-04-07T00:00:00"/>
    <n v="1741.36"/>
    <s v="CAD"/>
    <s v="Partial"/>
    <s v="NA"/>
    <s v="Net 30"/>
    <n v="1171"/>
    <x v="0"/>
  </r>
  <r>
    <s v="AP10311"/>
    <s v="TechMart"/>
    <d v="2024-06-22T00:00:00"/>
    <d v="2024-07-22T00:00:00"/>
    <n v="4981.4399999999996"/>
    <s v="USD"/>
    <s v="Paid"/>
    <d v="2024-07-22T00:00:00"/>
    <s v="Net 30"/>
    <n v="699"/>
    <x v="1"/>
  </r>
  <r>
    <s v="AP10312"/>
    <s v="ABC Supplies"/>
    <d v="2023-05-16T00:00:00"/>
    <d v="2023-06-15T00:00:00"/>
    <n v="2244.6799999999998"/>
    <s v="EUR"/>
    <s v="Open"/>
    <s v="NA"/>
    <s v="Net 30"/>
    <n v="1102"/>
    <x v="0"/>
  </r>
  <r>
    <s v="AP10313"/>
    <s v="BluePrints"/>
    <d v="2024-10-02T00:00:00"/>
    <d v="2024-11-01T00:00:00"/>
    <n v="660.06"/>
    <s v="AUD"/>
    <s v="Paid"/>
    <d v="2024-11-01T00:00:00"/>
    <s v="Net 30"/>
    <n v="597"/>
    <x v="1"/>
  </r>
  <r>
    <s v="AP10314"/>
    <s v="Global Office"/>
    <d v="2025-03-06T00:00:00"/>
    <d v="2025-04-05T00:00:00"/>
    <n v="2932.27"/>
    <s v="AUD"/>
    <s v="Paid"/>
    <d v="2025-04-05T00:00:00"/>
    <s v="Net 30"/>
    <n v="442"/>
    <x v="1"/>
  </r>
  <r>
    <s v="AP10315"/>
    <s v="Global Office"/>
    <d v="2024-08-07T00:00:00"/>
    <d v="2024-09-06T00:00:00"/>
    <n v="451.25"/>
    <s v="GBP"/>
    <s v="Open"/>
    <s v="NA"/>
    <s v="Net 30"/>
    <n v="653"/>
    <x v="0"/>
  </r>
  <r>
    <s v="AP10316"/>
    <s v="Fast Travel"/>
    <d v="2025-06-30T00:00:00"/>
    <d v="2025-07-30T00:00:00"/>
    <n v="2665.5"/>
    <s v="CAD"/>
    <s v="Partial"/>
    <s v="NA"/>
    <s v="Net 30"/>
    <n v="326"/>
    <x v="0"/>
  </r>
  <r>
    <s v="AP10317"/>
    <s v="BluePrints"/>
    <d v="2025-02-19T00:00:00"/>
    <d v="2025-03-21T00:00:00"/>
    <n v="1471.82"/>
    <s v="USD"/>
    <s v="Open"/>
    <s v="NA"/>
    <s v="Net 30"/>
    <n v="457"/>
    <x v="0"/>
  </r>
  <r>
    <s v="AP10318"/>
    <s v="ABC Supplies"/>
    <d v="2024-04-09T00:00:00"/>
    <d v="2024-05-09T00:00:00"/>
    <n v="1830.02"/>
    <s v="GBP"/>
    <s v="Paid"/>
    <d v="2024-05-09T00:00:00"/>
    <s v="Net 30"/>
    <n v="773"/>
    <x v="1"/>
  </r>
  <r>
    <s v="AP10319"/>
    <s v="ABC Supplies"/>
    <d v="2023-02-22T00:00:00"/>
    <d v="2023-03-24T00:00:00"/>
    <n v="4995.3900000000003"/>
    <s v="CAD"/>
    <s v="Partial"/>
    <s v="NA"/>
    <s v="Net 30"/>
    <n v="1185"/>
    <x v="0"/>
  </r>
  <r>
    <s v="AP10320"/>
    <s v="ABC Supplies"/>
    <d v="2023-05-22T00:00:00"/>
    <d v="2023-06-21T00:00:00"/>
    <n v="4822.93"/>
    <s v="AUD"/>
    <s v="Partial"/>
    <s v="NA"/>
    <s v="Net 30"/>
    <n v="1096"/>
    <x v="0"/>
  </r>
  <r>
    <s v="AP10321"/>
    <s v="BluePrints"/>
    <d v="2023-01-02T00:00:00"/>
    <d v="2023-02-01T00:00:00"/>
    <n v="1174.97"/>
    <s v="USD"/>
    <s v="Paid"/>
    <d v="2023-02-01T00:00:00"/>
    <s v="Net 30"/>
    <n v="1236"/>
    <x v="1"/>
  </r>
  <r>
    <s v="AP10322"/>
    <s v="Global Office"/>
    <d v="2024-04-05T00:00:00"/>
    <d v="2024-05-05T00:00:00"/>
    <n v="1018.67"/>
    <s v="EUR"/>
    <s v="Partial"/>
    <s v="NA"/>
    <s v="Net 30"/>
    <n v="777"/>
    <x v="0"/>
  </r>
  <r>
    <s v="AP10323"/>
    <s v="TechMart"/>
    <d v="2024-08-24T00:00:00"/>
    <d v="2024-09-23T00:00:00"/>
    <n v="525.23"/>
    <s v="AUD"/>
    <s v="Open"/>
    <s v="NA"/>
    <s v="Net 30"/>
    <n v="636"/>
    <x v="0"/>
  </r>
  <r>
    <s v="AP10324"/>
    <s v="TechMart"/>
    <d v="2023-03-29T00:00:00"/>
    <d v="2023-04-28T00:00:00"/>
    <n v="4607.07"/>
    <s v="USD"/>
    <s v="Open"/>
    <s v="NA"/>
    <s v="Net 30"/>
    <n v="1150"/>
    <x v="0"/>
  </r>
  <r>
    <s v="AP10325"/>
    <s v="BluePrints"/>
    <d v="2023-05-08T00:00:00"/>
    <d v="2023-06-07T00:00:00"/>
    <n v="2792.15"/>
    <s v="CAD"/>
    <s v="Paid"/>
    <d v="2023-06-07T00:00:00"/>
    <s v="Net 30"/>
    <n v="1110"/>
    <x v="1"/>
  </r>
  <r>
    <s v="AP10326"/>
    <s v="BluePrints"/>
    <d v="2024-08-07T00:00:00"/>
    <d v="2024-09-06T00:00:00"/>
    <n v="3719.04"/>
    <s v="GBP"/>
    <s v="Open"/>
    <s v="NA"/>
    <s v="Net 30"/>
    <n v="653"/>
    <x v="0"/>
  </r>
  <r>
    <s v="AP10327"/>
    <s v="Fast Travel"/>
    <d v="2024-10-11T00:00:00"/>
    <d v="2024-11-10T00:00:00"/>
    <n v="4169.05"/>
    <s v="EUR"/>
    <s v="Paid"/>
    <d v="2024-11-10T00:00:00"/>
    <s v="Net 30"/>
    <n v="588"/>
    <x v="1"/>
  </r>
  <r>
    <s v="AP10328"/>
    <s v="Global Office"/>
    <d v="2024-12-17T00:00:00"/>
    <d v="2025-01-16T00:00:00"/>
    <n v="1405.35"/>
    <s v="AUD"/>
    <s v="Open"/>
    <s v="NA"/>
    <s v="Net 30"/>
    <n v="521"/>
    <x v="0"/>
  </r>
  <r>
    <s v="AP10329"/>
    <s v="Global Office"/>
    <d v="2024-04-19T00:00:00"/>
    <d v="2024-05-19T00:00:00"/>
    <n v="4512.4399999999996"/>
    <s v="AUD"/>
    <s v="Partial"/>
    <s v="NA"/>
    <s v="Net 30"/>
    <n v="763"/>
    <x v="0"/>
  </r>
  <r>
    <s v="AP10330"/>
    <s v="ABC Supplies"/>
    <d v="2024-04-13T00:00:00"/>
    <d v="2024-05-13T00:00:00"/>
    <n v="1855.47"/>
    <s v="EUR"/>
    <s v="Open"/>
    <s v="NA"/>
    <s v="Net 30"/>
    <n v="769"/>
    <x v="0"/>
  </r>
  <r>
    <s v="AP10331"/>
    <s v="Fast Travel"/>
    <d v="2024-12-07T00:00:00"/>
    <d v="2025-01-06T00:00:00"/>
    <n v="1596.9"/>
    <s v="CAD"/>
    <s v="Paid"/>
    <d v="2025-01-06T00:00:00"/>
    <s v="Net 30"/>
    <n v="531"/>
    <x v="1"/>
  </r>
  <r>
    <s v="AP10332"/>
    <s v="Fast Travel"/>
    <d v="2023-01-23T00:00:00"/>
    <d v="2023-02-22T00:00:00"/>
    <n v="176.54"/>
    <s v="CAD"/>
    <s v="Paid"/>
    <d v="2023-02-22T00:00:00"/>
    <s v="Net 30"/>
    <n v="1215"/>
    <x v="1"/>
  </r>
  <r>
    <s v="AP10333"/>
    <s v="ABC Supplies"/>
    <d v="2025-02-17T00:00:00"/>
    <d v="2025-03-19T00:00:00"/>
    <n v="1225.82"/>
    <s v="CAD"/>
    <s v="Open"/>
    <s v="NA"/>
    <s v="Net 30"/>
    <n v="459"/>
    <x v="0"/>
  </r>
  <r>
    <s v="AP10334"/>
    <s v="BluePrints"/>
    <d v="2024-01-30T00:00:00"/>
    <d v="2024-02-29T00:00:00"/>
    <n v="355.21"/>
    <s v="CAD"/>
    <s v="Open"/>
    <s v="NA"/>
    <s v="Net 30"/>
    <n v="843"/>
    <x v="0"/>
  </r>
  <r>
    <s v="AP10335"/>
    <s v="Global Office"/>
    <d v="2025-03-20T00:00:00"/>
    <d v="2025-04-19T00:00:00"/>
    <n v="4628.8599999999997"/>
    <s v="EUR"/>
    <s v="Paid"/>
    <d v="2025-04-19T00:00:00"/>
    <s v="Net 30"/>
    <n v="428"/>
    <x v="1"/>
  </r>
  <r>
    <s v="AP10336"/>
    <s v="TechMart"/>
    <d v="2023-12-08T00:00:00"/>
    <d v="2024-01-07T00:00:00"/>
    <n v="2845.8"/>
    <s v="EUR"/>
    <s v="Partial"/>
    <s v="NA"/>
    <s v="Net 30"/>
    <n v="896"/>
    <x v="0"/>
  </r>
  <r>
    <s v="AP10337"/>
    <s v="ABC Supplies"/>
    <d v="2025-06-02T00:00:00"/>
    <d v="2025-07-02T00:00:00"/>
    <n v="1566.29"/>
    <s v="EUR"/>
    <s v="Open"/>
    <s v="NA"/>
    <s v="Net 30"/>
    <n v="354"/>
    <x v="0"/>
  </r>
  <r>
    <s v="AP10338"/>
    <s v="Global Office"/>
    <d v="2023-11-05T00:00:00"/>
    <d v="2023-12-05T00:00:00"/>
    <n v="4917.53"/>
    <s v="EUR"/>
    <s v="Paid"/>
    <d v="2023-12-05T00:00:00"/>
    <s v="Net 30"/>
    <n v="929"/>
    <x v="1"/>
  </r>
  <r>
    <s v="AP10339"/>
    <s v="TechMart"/>
    <d v="2023-12-22T00:00:00"/>
    <d v="2024-01-21T00:00:00"/>
    <n v="2748.45"/>
    <s v="GBP"/>
    <s v="Open"/>
    <s v="NA"/>
    <s v="Net 30"/>
    <n v="882"/>
    <x v="0"/>
  </r>
  <r>
    <s v="AP10340"/>
    <s v="Global Office"/>
    <d v="2025-01-15T00:00:00"/>
    <d v="2025-02-14T00:00:00"/>
    <n v="2910.56"/>
    <s v="AUD"/>
    <s v="Paid"/>
    <d v="2025-02-14T00:00:00"/>
    <s v="Net 30"/>
    <n v="492"/>
    <x v="1"/>
  </r>
  <r>
    <s v="AP10341"/>
    <s v="ABC Supplies"/>
    <d v="2025-06-23T00:00:00"/>
    <d v="2025-07-23T00:00:00"/>
    <n v="728.89"/>
    <s v="USD"/>
    <s v="Partial"/>
    <s v="NA"/>
    <s v="Net 30"/>
    <n v="333"/>
    <x v="0"/>
  </r>
  <r>
    <s v="AP10342"/>
    <s v="BluePrints"/>
    <d v="2023-02-24T00:00:00"/>
    <d v="2023-03-26T00:00:00"/>
    <n v="1790.61"/>
    <s v="USD"/>
    <s v="Partial"/>
    <s v="NA"/>
    <s v="Net 30"/>
    <n v="1183"/>
    <x v="0"/>
  </r>
  <r>
    <s v="AP10343"/>
    <s v="Global Office"/>
    <d v="2024-03-07T00:00:00"/>
    <d v="2024-04-06T00:00:00"/>
    <n v="3085.28"/>
    <s v="GBP"/>
    <s v="Paid"/>
    <d v="2024-04-06T00:00:00"/>
    <s v="Net 30"/>
    <n v="806"/>
    <x v="1"/>
  </r>
  <r>
    <s v="AP10344"/>
    <s v="Fast Travel"/>
    <d v="2023-08-16T00:00:00"/>
    <d v="2023-09-15T00:00:00"/>
    <n v="899.5"/>
    <s v="GBP"/>
    <s v="Open"/>
    <s v="NA"/>
    <s v="Net 30"/>
    <n v="1010"/>
    <x v="0"/>
  </r>
  <r>
    <s v="AP10345"/>
    <s v="Global Office"/>
    <d v="2023-01-11T00:00:00"/>
    <d v="2023-02-10T00:00:00"/>
    <n v="1797.02"/>
    <s v="USD"/>
    <s v="Open"/>
    <s v="NA"/>
    <s v="Net 30"/>
    <n v="1227"/>
    <x v="0"/>
  </r>
  <r>
    <s v="AP10346"/>
    <s v="ABC Supplies"/>
    <d v="2023-08-31T00:00:00"/>
    <d v="2023-09-30T00:00:00"/>
    <n v="4901.42"/>
    <s v="CAD"/>
    <s v="Open"/>
    <s v="NA"/>
    <s v="Net 30"/>
    <n v="995"/>
    <x v="0"/>
  </r>
  <r>
    <s v="AP10347"/>
    <s v="Global Office"/>
    <d v="2023-02-05T00:00:00"/>
    <d v="2023-03-07T00:00:00"/>
    <n v="4612.1400000000003"/>
    <s v="GBP"/>
    <s v="Paid"/>
    <d v="2023-03-07T00:00:00"/>
    <s v="Net 30"/>
    <n v="1202"/>
    <x v="1"/>
  </r>
  <r>
    <s v="AP10348"/>
    <s v="BluePrints"/>
    <d v="2024-06-09T00:00:00"/>
    <d v="2024-07-09T00:00:00"/>
    <n v="3151.2"/>
    <s v="CAD"/>
    <s v="Partial"/>
    <s v="NA"/>
    <s v="Net 30"/>
    <n v="712"/>
    <x v="0"/>
  </r>
  <r>
    <s v="AP10349"/>
    <s v="Global Office"/>
    <d v="2024-03-21T00:00:00"/>
    <d v="2024-04-20T00:00:00"/>
    <n v="4219.03"/>
    <s v="AUD"/>
    <s v="Paid"/>
    <d v="2024-04-20T00:00:00"/>
    <s v="Net 30"/>
    <n v="792"/>
    <x v="1"/>
  </r>
  <r>
    <s v="AP10350"/>
    <s v="ABC Supplies"/>
    <d v="2023-12-13T00:00:00"/>
    <d v="2024-01-12T00:00:00"/>
    <n v="4971.99"/>
    <s v="EUR"/>
    <s v="Open"/>
    <s v="NA"/>
    <s v="Net 30"/>
    <n v="891"/>
    <x v="0"/>
  </r>
  <r>
    <s v="AP10351"/>
    <s v="Fast Travel"/>
    <d v="2023-12-21T00:00:00"/>
    <d v="2024-01-20T00:00:00"/>
    <n v="3366.62"/>
    <s v="GBP"/>
    <s v="Paid"/>
    <d v="2024-01-20T00:00:00"/>
    <s v="Net 30"/>
    <n v="883"/>
    <x v="1"/>
  </r>
  <r>
    <s v="AP10352"/>
    <s v="TechMart"/>
    <d v="2025-03-19T00:00:00"/>
    <d v="2025-04-18T00:00:00"/>
    <n v="499.9"/>
    <s v="CAD"/>
    <s v="Paid"/>
    <d v="2025-04-18T00:00:00"/>
    <s v="Net 30"/>
    <n v="429"/>
    <x v="1"/>
  </r>
  <r>
    <s v="AP10353"/>
    <s v="Fast Travel"/>
    <d v="2023-09-28T00:00:00"/>
    <d v="2023-10-28T00:00:00"/>
    <n v="4834.01"/>
    <s v="GBP"/>
    <s v="Paid"/>
    <d v="2023-10-28T00:00:00"/>
    <s v="Net 30"/>
    <n v="967"/>
    <x v="1"/>
  </r>
  <r>
    <s v="AP10354"/>
    <s v="TechMart"/>
    <d v="2023-04-11T00:00:00"/>
    <d v="2023-05-11T00:00:00"/>
    <n v="1132.31"/>
    <s v="USD"/>
    <s v="Partial"/>
    <s v="NA"/>
    <s v="Net 30"/>
    <n v="1137"/>
    <x v="0"/>
  </r>
  <r>
    <s v="AP10355"/>
    <s v="TechMart"/>
    <d v="2025-05-20T00:00:00"/>
    <d v="2025-06-19T00:00:00"/>
    <n v="239.21"/>
    <s v="EUR"/>
    <s v="Partial"/>
    <s v="NA"/>
    <s v="Net 30"/>
    <n v="367"/>
    <x v="0"/>
  </r>
  <r>
    <s v="AP10356"/>
    <s v="BluePrints"/>
    <d v="2023-09-21T00:00:00"/>
    <d v="2023-10-21T00:00:00"/>
    <n v="1990.65"/>
    <s v="EUR"/>
    <s v="Open"/>
    <s v="NA"/>
    <s v="Net 30"/>
    <n v="974"/>
    <x v="0"/>
  </r>
  <r>
    <s v="AP10357"/>
    <s v="BluePrints"/>
    <d v="2023-08-22T00:00:00"/>
    <d v="2023-09-21T00:00:00"/>
    <n v="4029.65"/>
    <s v="CAD"/>
    <s v="Paid"/>
    <d v="2023-09-21T00:00:00"/>
    <s v="Net 30"/>
    <n v="1004"/>
    <x v="1"/>
  </r>
  <r>
    <s v="AP10358"/>
    <s v="Fast Travel"/>
    <d v="2024-09-10T00:00:00"/>
    <d v="2024-10-10T00:00:00"/>
    <n v="1667.66"/>
    <s v="AUD"/>
    <s v="Open"/>
    <s v="NA"/>
    <s v="Net 30"/>
    <n v="619"/>
    <x v="0"/>
  </r>
  <r>
    <s v="AP10359"/>
    <s v="Fast Travel"/>
    <d v="2024-02-03T00:00:00"/>
    <d v="2024-03-04T00:00:00"/>
    <n v="687.7"/>
    <s v="AUD"/>
    <s v="Open"/>
    <s v="NA"/>
    <s v="Net 30"/>
    <n v="839"/>
    <x v="0"/>
  </r>
  <r>
    <s v="AP10360"/>
    <s v="Global Office"/>
    <d v="2023-09-05T00:00:00"/>
    <d v="2023-10-05T00:00:00"/>
    <n v="1555.59"/>
    <s v="USD"/>
    <s v="Paid"/>
    <d v="2023-10-05T00:00:00"/>
    <s v="Net 30"/>
    <n v="990"/>
    <x v="1"/>
  </r>
  <r>
    <s v="AP10361"/>
    <s v="BluePrints"/>
    <d v="2024-01-07T00:00:00"/>
    <d v="2024-02-06T00:00:00"/>
    <n v="937.69"/>
    <s v="AUD"/>
    <s v="Paid"/>
    <d v="2024-02-06T00:00:00"/>
    <s v="Net 30"/>
    <n v="866"/>
    <x v="1"/>
  </r>
  <r>
    <s v="AP10362"/>
    <s v="ABC Supplies"/>
    <d v="2024-01-16T00:00:00"/>
    <d v="2024-02-15T00:00:00"/>
    <n v="2005.72"/>
    <s v="USD"/>
    <s v="Paid"/>
    <d v="2024-02-15T00:00:00"/>
    <s v="Net 30"/>
    <n v="857"/>
    <x v="1"/>
  </r>
  <r>
    <s v="AP10363"/>
    <s v="BluePrints"/>
    <d v="2024-01-15T00:00:00"/>
    <d v="2024-02-14T00:00:00"/>
    <n v="4353.25"/>
    <s v="CAD"/>
    <s v="Paid"/>
    <d v="2024-02-14T00:00:00"/>
    <s v="Net 30"/>
    <n v="858"/>
    <x v="1"/>
  </r>
  <r>
    <s v="AP10364"/>
    <s v="BluePrints"/>
    <d v="2024-12-27T00:00:00"/>
    <d v="2025-01-26T00:00:00"/>
    <n v="2122.23"/>
    <s v="AUD"/>
    <s v="Open"/>
    <s v="NA"/>
    <s v="Net 30"/>
    <n v="511"/>
    <x v="0"/>
  </r>
  <r>
    <s v="AP10365"/>
    <s v="TechMart"/>
    <d v="2025-04-09T00:00:00"/>
    <d v="2025-05-09T00:00:00"/>
    <n v="3957.87"/>
    <s v="CAD"/>
    <s v="Partial"/>
    <s v="NA"/>
    <s v="Net 30"/>
    <n v="408"/>
    <x v="0"/>
  </r>
  <r>
    <s v="AP10366"/>
    <s v="BluePrints"/>
    <d v="2024-07-22T00:00:00"/>
    <d v="2024-08-21T00:00:00"/>
    <n v="3266.74"/>
    <s v="AUD"/>
    <s v="Partial"/>
    <s v="NA"/>
    <s v="Net 30"/>
    <n v="669"/>
    <x v="0"/>
  </r>
  <r>
    <s v="AP10367"/>
    <s v="TechMart"/>
    <d v="2024-04-29T00:00:00"/>
    <d v="2024-05-29T00:00:00"/>
    <n v="4729.29"/>
    <s v="AUD"/>
    <s v="Partial"/>
    <s v="NA"/>
    <s v="Net 30"/>
    <n v="753"/>
    <x v="0"/>
  </r>
  <r>
    <s v="AP10368"/>
    <s v="ABC Supplies"/>
    <d v="2025-03-15T00:00:00"/>
    <d v="2025-04-14T00:00:00"/>
    <n v="1404.93"/>
    <s v="AUD"/>
    <s v="Partial"/>
    <s v="NA"/>
    <s v="Net 30"/>
    <n v="433"/>
    <x v="0"/>
  </r>
  <r>
    <s v="AP10369"/>
    <s v="TechMart"/>
    <d v="2024-12-05T00:00:00"/>
    <d v="2025-01-04T00:00:00"/>
    <n v="2397.5100000000002"/>
    <s v="CAD"/>
    <s v="Partial"/>
    <s v="NA"/>
    <s v="Net 30"/>
    <n v="533"/>
    <x v="0"/>
  </r>
  <r>
    <s v="AP10370"/>
    <s v="TechMart"/>
    <d v="2023-03-20T00:00:00"/>
    <d v="2023-04-19T00:00:00"/>
    <n v="3324.14"/>
    <s v="AUD"/>
    <s v="Paid"/>
    <d v="2023-04-19T00:00:00"/>
    <s v="Net 30"/>
    <n v="1159"/>
    <x v="1"/>
  </r>
  <r>
    <s v="AP10371"/>
    <s v="Global Office"/>
    <d v="2023-12-30T00:00:00"/>
    <d v="2024-01-29T00:00:00"/>
    <n v="4000.08"/>
    <s v="GBP"/>
    <s v="Open"/>
    <s v="NA"/>
    <s v="Net 30"/>
    <n v="874"/>
    <x v="0"/>
  </r>
  <r>
    <s v="AP10372"/>
    <s v="Global Office"/>
    <d v="2025-05-11T00:00:00"/>
    <d v="2025-06-10T00:00:00"/>
    <n v="692.78"/>
    <s v="EUR"/>
    <s v="Paid"/>
    <d v="2025-06-10T00:00:00"/>
    <s v="Net 30"/>
    <n v="376"/>
    <x v="1"/>
  </r>
  <r>
    <s v="AP10373"/>
    <s v="ABC Supplies"/>
    <d v="2023-05-20T00:00:00"/>
    <d v="2023-06-19T00:00:00"/>
    <n v="485.69"/>
    <s v="EUR"/>
    <s v="Partial"/>
    <s v="NA"/>
    <s v="Net 30"/>
    <n v="1098"/>
    <x v="0"/>
  </r>
  <r>
    <s v="AP10374"/>
    <s v="TechMart"/>
    <d v="2023-08-30T00:00:00"/>
    <d v="2023-09-29T00:00:00"/>
    <n v="2956.85"/>
    <s v="EUR"/>
    <s v="Paid"/>
    <d v="2023-09-29T00:00:00"/>
    <s v="Net 30"/>
    <n v="996"/>
    <x v="1"/>
  </r>
  <r>
    <s v="AP10375"/>
    <s v="Fast Travel"/>
    <d v="2023-11-03T00:00:00"/>
    <d v="2023-12-03T00:00:00"/>
    <n v="2455.2600000000002"/>
    <s v="CAD"/>
    <s v="Partial"/>
    <s v="NA"/>
    <s v="Net 30"/>
    <n v="931"/>
    <x v="0"/>
  </r>
  <r>
    <s v="AP10376"/>
    <s v="ABC Supplies"/>
    <d v="2023-02-01T00:00:00"/>
    <d v="2023-03-03T00:00:00"/>
    <n v="852.36"/>
    <s v="CAD"/>
    <s v="Paid"/>
    <d v="2023-03-03T00:00:00"/>
    <s v="Net 30"/>
    <n v="1206"/>
    <x v="1"/>
  </r>
  <r>
    <s v="AP10377"/>
    <s v="TechMart"/>
    <d v="2023-07-22T00:00:00"/>
    <d v="2023-08-21T00:00:00"/>
    <n v="4885.47"/>
    <s v="EUR"/>
    <s v="Partial"/>
    <s v="NA"/>
    <s v="Net 30"/>
    <n v="1035"/>
    <x v="0"/>
  </r>
  <r>
    <s v="AP10378"/>
    <s v="TechMart"/>
    <d v="2024-08-17T00:00:00"/>
    <d v="2024-09-16T00:00:00"/>
    <n v="3332.33"/>
    <s v="USD"/>
    <s v="Open"/>
    <s v="NA"/>
    <s v="Net 30"/>
    <n v="643"/>
    <x v="0"/>
  </r>
  <r>
    <s v="AP10379"/>
    <s v="TechMart"/>
    <d v="2023-09-01T00:00:00"/>
    <d v="2023-10-01T00:00:00"/>
    <n v="431.39"/>
    <s v="USD"/>
    <s v="Paid"/>
    <d v="2023-10-01T00:00:00"/>
    <s v="Net 30"/>
    <n v="994"/>
    <x v="1"/>
  </r>
  <r>
    <s v="AP10380"/>
    <s v="BluePrints"/>
    <d v="2024-03-12T00:00:00"/>
    <d v="2024-04-11T00:00:00"/>
    <n v="2201.16"/>
    <s v="GBP"/>
    <s v="Open"/>
    <s v="NA"/>
    <s v="Net 30"/>
    <n v="801"/>
    <x v="0"/>
  </r>
  <r>
    <s v="AP10381"/>
    <s v="Global Office"/>
    <d v="2024-09-17T00:00:00"/>
    <d v="2024-10-17T00:00:00"/>
    <n v="726.32"/>
    <s v="GBP"/>
    <s v="Paid"/>
    <d v="2024-10-17T00:00:00"/>
    <s v="Net 30"/>
    <n v="612"/>
    <x v="1"/>
  </r>
  <r>
    <s v="AP10382"/>
    <s v="TechMart"/>
    <d v="2024-02-07T00:00:00"/>
    <d v="2024-03-08T00:00:00"/>
    <n v="4541.1000000000004"/>
    <s v="AUD"/>
    <s v="Partial"/>
    <s v="NA"/>
    <s v="Net 30"/>
    <n v="835"/>
    <x v="0"/>
  </r>
  <r>
    <s v="AP10383"/>
    <s v="Fast Travel"/>
    <d v="2025-05-20T00:00:00"/>
    <d v="2025-06-19T00:00:00"/>
    <n v="249.48"/>
    <s v="CAD"/>
    <s v="Paid"/>
    <d v="2025-06-19T00:00:00"/>
    <s v="Net 30"/>
    <n v="367"/>
    <x v="1"/>
  </r>
  <r>
    <s v="AP10384"/>
    <s v="BluePrints"/>
    <d v="2023-12-24T00:00:00"/>
    <d v="2024-01-23T00:00:00"/>
    <n v="3005.5"/>
    <s v="EUR"/>
    <s v="Open"/>
    <s v="NA"/>
    <s v="Net 30"/>
    <n v="880"/>
    <x v="0"/>
  </r>
  <r>
    <s v="AP10385"/>
    <s v="TechMart"/>
    <d v="2023-01-04T00:00:00"/>
    <d v="2023-02-03T00:00:00"/>
    <n v="1857.96"/>
    <s v="EUR"/>
    <s v="Paid"/>
    <d v="2023-02-03T00:00:00"/>
    <s v="Net 30"/>
    <n v="1234"/>
    <x v="1"/>
  </r>
  <r>
    <s v="AP10386"/>
    <s v="TechMart"/>
    <d v="2024-11-20T00:00:00"/>
    <d v="2024-12-20T00:00:00"/>
    <n v="915.02"/>
    <s v="AUD"/>
    <s v="Open"/>
    <s v="NA"/>
    <s v="Net 30"/>
    <n v="548"/>
    <x v="0"/>
  </r>
  <r>
    <s v="AP10387"/>
    <s v="BluePrints"/>
    <d v="2024-07-07T00:00:00"/>
    <d v="2024-08-06T00:00:00"/>
    <n v="4101.55"/>
    <s v="GBP"/>
    <s v="Open"/>
    <s v="NA"/>
    <s v="Net 30"/>
    <n v="684"/>
    <x v="0"/>
  </r>
  <r>
    <s v="AP10388"/>
    <s v="Global Office"/>
    <d v="2023-12-12T00:00:00"/>
    <d v="2024-01-11T00:00:00"/>
    <n v="4184.6499999999996"/>
    <s v="EUR"/>
    <s v="Partial"/>
    <s v="NA"/>
    <s v="Net 30"/>
    <n v="892"/>
    <x v="0"/>
  </r>
  <r>
    <s v="AP10389"/>
    <s v="ABC Supplies"/>
    <d v="2024-04-26T00:00:00"/>
    <d v="2024-05-26T00:00:00"/>
    <n v="4769.93"/>
    <s v="CAD"/>
    <s v="Open"/>
    <s v="NA"/>
    <s v="Net 30"/>
    <n v="756"/>
    <x v="0"/>
  </r>
  <r>
    <s v="AP10390"/>
    <s v="Global Office"/>
    <d v="2024-04-05T00:00:00"/>
    <d v="2024-05-05T00:00:00"/>
    <n v="3082.55"/>
    <s v="AUD"/>
    <s v="Partial"/>
    <s v="NA"/>
    <s v="Net 30"/>
    <n v="777"/>
    <x v="0"/>
  </r>
  <r>
    <s v="AP10391"/>
    <s v="Fast Travel"/>
    <d v="2023-11-07T00:00:00"/>
    <d v="2023-12-07T00:00:00"/>
    <n v="4720.7700000000004"/>
    <s v="USD"/>
    <s v="Paid"/>
    <d v="2023-12-07T00:00:00"/>
    <s v="Net 30"/>
    <n v="927"/>
    <x v="1"/>
  </r>
  <r>
    <s v="AP10392"/>
    <s v="Fast Travel"/>
    <d v="2024-05-24T00:00:00"/>
    <d v="2024-06-23T00:00:00"/>
    <n v="4645.08"/>
    <s v="AUD"/>
    <s v="Open"/>
    <s v="NA"/>
    <s v="Net 30"/>
    <n v="728"/>
    <x v="0"/>
  </r>
  <r>
    <s v="AP10393"/>
    <s v="Fast Travel"/>
    <d v="2024-06-21T00:00:00"/>
    <d v="2024-07-21T00:00:00"/>
    <n v="2488.5"/>
    <s v="USD"/>
    <s v="Open"/>
    <s v="NA"/>
    <s v="Net 30"/>
    <n v="700"/>
    <x v="0"/>
  </r>
  <r>
    <s v="AP10394"/>
    <s v="Global Office"/>
    <d v="2024-01-17T00:00:00"/>
    <d v="2024-02-16T00:00:00"/>
    <n v="4687.1499999999996"/>
    <s v="CAD"/>
    <s v="Partial"/>
    <s v="NA"/>
    <s v="Net 30"/>
    <n v="856"/>
    <x v="0"/>
  </r>
  <r>
    <s v="AP10395"/>
    <s v="Global Office"/>
    <d v="2023-10-28T00:00:00"/>
    <d v="2023-11-27T00:00:00"/>
    <n v="3299.79"/>
    <s v="USD"/>
    <s v="Open"/>
    <s v="NA"/>
    <s v="Net 30"/>
    <n v="937"/>
    <x v="0"/>
  </r>
  <r>
    <s v="AP10396"/>
    <s v="Fast Travel"/>
    <d v="2024-09-06T00:00:00"/>
    <d v="2024-10-06T00:00:00"/>
    <n v="1150.1099999999999"/>
    <s v="GBP"/>
    <s v="Paid"/>
    <d v="2024-10-06T00:00:00"/>
    <s v="Net 30"/>
    <n v="623"/>
    <x v="1"/>
  </r>
  <r>
    <s v="AP10397"/>
    <s v="Global Office"/>
    <d v="2024-02-07T00:00:00"/>
    <d v="2024-03-08T00:00:00"/>
    <n v="1440.98"/>
    <s v="CAD"/>
    <s v="Open"/>
    <s v="NA"/>
    <s v="Net 30"/>
    <n v="835"/>
    <x v="0"/>
  </r>
  <r>
    <s v="AP10398"/>
    <s v="ABC Supplies"/>
    <d v="2023-03-27T00:00:00"/>
    <d v="2023-04-26T00:00:00"/>
    <n v="4705.1499999999996"/>
    <s v="AUD"/>
    <s v="Paid"/>
    <d v="2023-04-26T00:00:00"/>
    <s v="Net 30"/>
    <n v="1152"/>
    <x v="1"/>
  </r>
  <r>
    <s v="AP10399"/>
    <s v="TechMart"/>
    <d v="2023-06-09T00:00:00"/>
    <d v="2023-07-09T00:00:00"/>
    <n v="4226.8900000000003"/>
    <s v="AUD"/>
    <s v="Paid"/>
    <d v="2023-07-09T00:00:00"/>
    <s v="Net 30"/>
    <n v="1078"/>
    <x v="1"/>
  </r>
  <r>
    <s v="AP10400"/>
    <s v="Global Office"/>
    <d v="2025-04-29T00:00:00"/>
    <d v="2025-05-29T00:00:00"/>
    <n v="4706.16"/>
    <s v="GBP"/>
    <s v="Paid"/>
    <d v="2025-05-29T00:00:00"/>
    <s v="Net 30"/>
    <n v="388"/>
    <x v="1"/>
  </r>
  <r>
    <s v="AP10401"/>
    <s v="Global Office"/>
    <d v="2023-08-07T00:00:00"/>
    <d v="2023-09-06T00:00:00"/>
    <n v="4149.5200000000004"/>
    <s v="USD"/>
    <s v="Paid"/>
    <d v="2023-09-06T00:00:00"/>
    <s v="Net 30"/>
    <n v="1019"/>
    <x v="1"/>
  </r>
  <r>
    <s v="AP10402"/>
    <s v="Fast Travel"/>
    <d v="2023-12-26T00:00:00"/>
    <d v="2024-01-25T00:00:00"/>
    <n v="1586.89"/>
    <s v="EUR"/>
    <s v="Partial"/>
    <s v="NA"/>
    <s v="Net 30"/>
    <n v="878"/>
    <x v="0"/>
  </r>
  <r>
    <s v="AP10403"/>
    <s v="BluePrints"/>
    <d v="2025-04-10T00:00:00"/>
    <d v="2025-05-10T00:00:00"/>
    <n v="2473.2600000000002"/>
    <s v="USD"/>
    <s v="Open"/>
    <s v="NA"/>
    <s v="Net 30"/>
    <n v="407"/>
    <x v="0"/>
  </r>
  <r>
    <s v="AP10404"/>
    <s v="BluePrints"/>
    <d v="2024-10-12T00:00:00"/>
    <d v="2024-11-11T00:00:00"/>
    <n v="3115.36"/>
    <s v="GBP"/>
    <s v="Open"/>
    <s v="NA"/>
    <s v="Net 30"/>
    <n v="587"/>
    <x v="0"/>
  </r>
  <r>
    <s v="AP10405"/>
    <s v="Global Office"/>
    <d v="2025-04-28T00:00:00"/>
    <d v="2025-05-28T00:00:00"/>
    <n v="2243.81"/>
    <s v="AUD"/>
    <s v="Paid"/>
    <d v="2025-05-28T00:00:00"/>
    <s v="Net 30"/>
    <n v="389"/>
    <x v="1"/>
  </r>
  <r>
    <s v="AP10406"/>
    <s v="Fast Travel"/>
    <d v="2025-03-13T00:00:00"/>
    <d v="2025-04-12T00:00:00"/>
    <n v="2764.23"/>
    <s v="GBP"/>
    <s v="Partial"/>
    <s v="NA"/>
    <s v="Net 30"/>
    <n v="435"/>
    <x v="0"/>
  </r>
  <r>
    <s v="AP10407"/>
    <s v="TechMart"/>
    <d v="2023-12-26T00:00:00"/>
    <d v="2024-01-25T00:00:00"/>
    <n v="4219.16"/>
    <s v="USD"/>
    <s v="Partial"/>
    <s v="NA"/>
    <s v="Net 30"/>
    <n v="878"/>
    <x v="0"/>
  </r>
  <r>
    <s v="AP10408"/>
    <s v="Global Office"/>
    <d v="2024-05-18T00:00:00"/>
    <d v="2024-06-17T00:00:00"/>
    <n v="2719.44"/>
    <s v="CAD"/>
    <s v="Open"/>
    <s v="NA"/>
    <s v="Net 30"/>
    <n v="734"/>
    <x v="0"/>
  </r>
  <r>
    <s v="AP10409"/>
    <s v="TechMart"/>
    <d v="2024-11-21T00:00:00"/>
    <d v="2024-12-21T00:00:00"/>
    <n v="3651.79"/>
    <s v="CAD"/>
    <s v="Partial"/>
    <s v="NA"/>
    <s v="Net 30"/>
    <n v="547"/>
    <x v="0"/>
  </r>
  <r>
    <s v="AP10410"/>
    <s v="Global Office"/>
    <d v="2024-03-07T00:00:00"/>
    <d v="2024-04-06T00:00:00"/>
    <n v="1247.3"/>
    <s v="AUD"/>
    <s v="Paid"/>
    <d v="2024-04-06T00:00:00"/>
    <s v="Net 30"/>
    <n v="806"/>
    <x v="1"/>
  </r>
  <r>
    <s v="AP10411"/>
    <s v="TechMart"/>
    <d v="2024-10-21T00:00:00"/>
    <d v="2024-11-20T00:00:00"/>
    <n v="1665.2"/>
    <s v="AUD"/>
    <s v="Open"/>
    <s v="NA"/>
    <s v="Net 30"/>
    <n v="578"/>
    <x v="0"/>
  </r>
  <r>
    <s v="AP10412"/>
    <s v="BluePrints"/>
    <d v="2025-04-22T00:00:00"/>
    <d v="2025-05-22T00:00:00"/>
    <n v="4157.1000000000004"/>
    <s v="GBP"/>
    <s v="Partial"/>
    <s v="NA"/>
    <s v="Net 30"/>
    <n v="395"/>
    <x v="0"/>
  </r>
  <r>
    <s v="AP10413"/>
    <s v="Global Office"/>
    <d v="2023-06-01T00:00:00"/>
    <d v="2023-07-01T00:00:00"/>
    <n v="4306.1000000000004"/>
    <s v="CAD"/>
    <s v="Partial"/>
    <s v="NA"/>
    <s v="Net 30"/>
    <n v="1086"/>
    <x v="0"/>
  </r>
  <r>
    <s v="AP10414"/>
    <s v="ABC Supplies"/>
    <d v="2024-09-14T00:00:00"/>
    <d v="2024-10-14T00:00:00"/>
    <n v="432.27"/>
    <s v="AUD"/>
    <s v="Paid"/>
    <d v="2024-10-14T00:00:00"/>
    <s v="Net 30"/>
    <n v="615"/>
    <x v="1"/>
  </r>
  <r>
    <s v="AP10415"/>
    <s v="BluePrints"/>
    <d v="2023-11-30T00:00:00"/>
    <d v="2023-12-30T00:00:00"/>
    <n v="2075.2199999999998"/>
    <s v="AUD"/>
    <s v="Partial"/>
    <s v="NA"/>
    <s v="Net 30"/>
    <n v="904"/>
    <x v="0"/>
  </r>
  <r>
    <s v="AP10416"/>
    <s v="Global Office"/>
    <d v="2023-02-12T00:00:00"/>
    <d v="2023-03-14T00:00:00"/>
    <n v="2515.5700000000002"/>
    <s v="GBP"/>
    <s v="Open"/>
    <s v="NA"/>
    <s v="Net 30"/>
    <n v="1195"/>
    <x v="0"/>
  </r>
  <r>
    <s v="AP10417"/>
    <s v="Global Office"/>
    <d v="2023-12-05T00:00:00"/>
    <d v="2024-01-04T00:00:00"/>
    <n v="1960.15"/>
    <s v="USD"/>
    <s v="Partial"/>
    <s v="NA"/>
    <s v="Net 30"/>
    <n v="899"/>
    <x v="0"/>
  </r>
  <r>
    <s v="AP10418"/>
    <s v="ABC Supplies"/>
    <d v="2023-07-24T00:00:00"/>
    <d v="2023-08-23T00:00:00"/>
    <n v="3168.02"/>
    <s v="AUD"/>
    <s v="Partial"/>
    <s v="NA"/>
    <s v="Net 30"/>
    <n v="1033"/>
    <x v="0"/>
  </r>
  <r>
    <s v="AP10419"/>
    <s v="TechMart"/>
    <d v="2023-05-31T00:00:00"/>
    <d v="2023-06-30T00:00:00"/>
    <n v="576.42999999999995"/>
    <s v="USD"/>
    <s v="Paid"/>
    <d v="2023-06-30T00:00:00"/>
    <s v="Net 30"/>
    <n v="1087"/>
    <x v="1"/>
  </r>
  <r>
    <s v="AP10420"/>
    <s v="Global Office"/>
    <d v="2025-01-13T00:00:00"/>
    <d v="2025-02-12T00:00:00"/>
    <n v="460.35"/>
    <s v="USD"/>
    <s v="Open"/>
    <s v="NA"/>
    <s v="Net 30"/>
    <n v="494"/>
    <x v="0"/>
  </r>
  <r>
    <s v="AP10421"/>
    <s v="Global Office"/>
    <d v="2025-02-16T00:00:00"/>
    <d v="2025-03-18T00:00:00"/>
    <n v="2305.42"/>
    <s v="USD"/>
    <s v="Open"/>
    <s v="NA"/>
    <s v="Net 30"/>
    <n v="460"/>
    <x v="0"/>
  </r>
  <r>
    <s v="AP10422"/>
    <s v="ABC Supplies"/>
    <d v="2023-12-16T00:00:00"/>
    <d v="2024-01-15T00:00:00"/>
    <n v="2623.62"/>
    <s v="GBP"/>
    <s v="Partial"/>
    <s v="NA"/>
    <s v="Net 30"/>
    <n v="888"/>
    <x v="0"/>
  </r>
  <r>
    <s v="AP10423"/>
    <s v="Fast Travel"/>
    <d v="2024-02-20T00:00:00"/>
    <d v="2024-03-21T00:00:00"/>
    <n v="1571.77"/>
    <s v="EUR"/>
    <s v="Open"/>
    <s v="NA"/>
    <s v="Net 30"/>
    <n v="822"/>
    <x v="0"/>
  </r>
  <r>
    <s v="AP10424"/>
    <s v="Fast Travel"/>
    <d v="2023-05-15T00:00:00"/>
    <d v="2023-06-14T00:00:00"/>
    <n v="4241.5600000000004"/>
    <s v="CAD"/>
    <s v="Open"/>
    <s v="NA"/>
    <s v="Net 30"/>
    <n v="1103"/>
    <x v="0"/>
  </r>
  <r>
    <s v="AP10425"/>
    <s v="BluePrints"/>
    <d v="2023-06-09T00:00:00"/>
    <d v="2023-07-09T00:00:00"/>
    <n v="3066.36"/>
    <s v="CAD"/>
    <s v="Paid"/>
    <d v="2023-07-09T00:00:00"/>
    <s v="Net 30"/>
    <n v="1078"/>
    <x v="1"/>
  </r>
  <r>
    <s v="AP10426"/>
    <s v="ABC Supplies"/>
    <d v="2024-12-27T00:00:00"/>
    <d v="2025-01-26T00:00:00"/>
    <n v="1623.29"/>
    <s v="AUD"/>
    <s v="Partial"/>
    <s v="NA"/>
    <s v="Net 30"/>
    <n v="511"/>
    <x v="0"/>
  </r>
  <r>
    <s v="AP10427"/>
    <s v="BluePrints"/>
    <d v="2023-07-08T00:00:00"/>
    <d v="2023-08-07T00:00:00"/>
    <n v="4738.84"/>
    <s v="USD"/>
    <s v="Partial"/>
    <s v="NA"/>
    <s v="Net 30"/>
    <n v="1049"/>
    <x v="0"/>
  </r>
  <r>
    <s v="AP10428"/>
    <s v="BluePrints"/>
    <d v="2023-09-10T00:00:00"/>
    <d v="2023-10-10T00:00:00"/>
    <n v="2769.92"/>
    <s v="CAD"/>
    <s v="Partial"/>
    <s v="NA"/>
    <s v="Net 30"/>
    <n v="985"/>
    <x v="0"/>
  </r>
  <r>
    <s v="AP10429"/>
    <s v="BluePrints"/>
    <d v="2024-12-15T00:00:00"/>
    <d v="2025-01-14T00:00:00"/>
    <n v="2883.34"/>
    <s v="GBP"/>
    <s v="Open"/>
    <s v="NA"/>
    <s v="Net 30"/>
    <n v="523"/>
    <x v="0"/>
  </r>
  <r>
    <s v="AP10430"/>
    <s v="ABC Supplies"/>
    <d v="2024-06-04T00:00:00"/>
    <d v="2024-07-04T00:00:00"/>
    <n v="2334.1799999999998"/>
    <s v="AUD"/>
    <s v="Open"/>
    <s v="NA"/>
    <s v="Net 30"/>
    <n v="717"/>
    <x v="0"/>
  </r>
  <r>
    <s v="AP10431"/>
    <s v="TechMart"/>
    <d v="2023-10-20T00:00:00"/>
    <d v="2023-11-19T00:00:00"/>
    <n v="3148.17"/>
    <s v="USD"/>
    <s v="Open"/>
    <s v="NA"/>
    <s v="Net 30"/>
    <n v="945"/>
    <x v="0"/>
  </r>
  <r>
    <s v="AP10432"/>
    <s v="TechMart"/>
    <d v="2024-10-08T00:00:00"/>
    <d v="2024-11-07T00:00:00"/>
    <n v="1378.14"/>
    <s v="GBP"/>
    <s v="Paid"/>
    <d v="2024-11-07T00:00:00"/>
    <s v="Net 30"/>
    <n v="591"/>
    <x v="1"/>
  </r>
  <r>
    <s v="AP10433"/>
    <s v="Global Office"/>
    <d v="2025-02-11T00:00:00"/>
    <d v="2025-03-13T00:00:00"/>
    <n v="275.33999999999997"/>
    <s v="GBP"/>
    <s v="Open"/>
    <s v="NA"/>
    <s v="Net 30"/>
    <n v="465"/>
    <x v="0"/>
  </r>
  <r>
    <s v="AP10434"/>
    <s v="BluePrints"/>
    <d v="2023-03-31T00:00:00"/>
    <d v="2023-04-30T00:00:00"/>
    <n v="2274.14"/>
    <s v="EUR"/>
    <s v="Partial"/>
    <s v="NA"/>
    <s v="Net 30"/>
    <n v="1148"/>
    <x v="0"/>
  </r>
  <r>
    <s v="AP10435"/>
    <s v="Global Office"/>
    <d v="2023-09-12T00:00:00"/>
    <d v="2023-10-12T00:00:00"/>
    <n v="800.97"/>
    <s v="CAD"/>
    <s v="Paid"/>
    <d v="2023-10-12T00:00:00"/>
    <s v="Net 30"/>
    <n v="983"/>
    <x v="1"/>
  </r>
  <r>
    <s v="AP10436"/>
    <s v="ABC Supplies"/>
    <d v="2023-02-07T00:00:00"/>
    <d v="2023-03-09T00:00:00"/>
    <n v="2595.11"/>
    <s v="AUD"/>
    <s v="Open"/>
    <s v="NA"/>
    <s v="Net 30"/>
    <n v="1200"/>
    <x v="0"/>
  </r>
  <r>
    <s v="AP10437"/>
    <s v="Global Office"/>
    <d v="2023-10-11T00:00:00"/>
    <d v="2023-11-10T00:00:00"/>
    <n v="4967.66"/>
    <s v="USD"/>
    <s v="Paid"/>
    <d v="2023-11-10T00:00:00"/>
    <s v="Net 30"/>
    <n v="954"/>
    <x v="1"/>
  </r>
  <r>
    <s v="AP10438"/>
    <s v="BluePrints"/>
    <d v="2024-03-10T00:00:00"/>
    <d v="2024-04-09T00:00:00"/>
    <n v="523.04999999999995"/>
    <s v="EUR"/>
    <s v="Open"/>
    <s v="NA"/>
    <s v="Net 30"/>
    <n v="803"/>
    <x v="0"/>
  </r>
  <r>
    <s v="AP10439"/>
    <s v="ABC Supplies"/>
    <d v="2023-05-29T00:00:00"/>
    <d v="2023-06-28T00:00:00"/>
    <n v="3485.01"/>
    <s v="EUR"/>
    <s v="Paid"/>
    <d v="2023-06-28T00:00:00"/>
    <s v="Net 30"/>
    <n v="1089"/>
    <x v="1"/>
  </r>
  <r>
    <s v="AP10440"/>
    <s v="Fast Travel"/>
    <d v="2023-02-04T00:00:00"/>
    <d v="2023-03-06T00:00:00"/>
    <n v="2251.04"/>
    <s v="EUR"/>
    <s v="Paid"/>
    <d v="2023-03-06T00:00:00"/>
    <s v="Net 30"/>
    <n v="1203"/>
    <x v="1"/>
  </r>
  <r>
    <s v="AP10441"/>
    <s v="TechMart"/>
    <d v="2023-10-11T00:00:00"/>
    <d v="2023-11-10T00:00:00"/>
    <n v="3521.51"/>
    <s v="GBP"/>
    <s v="Paid"/>
    <d v="2023-11-10T00:00:00"/>
    <s v="Net 30"/>
    <n v="954"/>
    <x v="1"/>
  </r>
  <r>
    <s v="AP10442"/>
    <s v="Fast Travel"/>
    <d v="2025-04-09T00:00:00"/>
    <d v="2025-05-09T00:00:00"/>
    <n v="3808.69"/>
    <s v="CAD"/>
    <s v="Open"/>
    <s v="NA"/>
    <s v="Net 30"/>
    <n v="408"/>
    <x v="0"/>
  </r>
  <r>
    <s v="AP10443"/>
    <s v="ABC Supplies"/>
    <d v="2023-05-17T00:00:00"/>
    <d v="2023-06-16T00:00:00"/>
    <n v="3920.07"/>
    <s v="AUD"/>
    <s v="Paid"/>
    <d v="2023-06-16T00:00:00"/>
    <s v="Net 30"/>
    <n v="1101"/>
    <x v="1"/>
  </r>
  <r>
    <s v="AP10444"/>
    <s v="ABC Supplies"/>
    <d v="2023-03-22T00:00:00"/>
    <d v="2023-04-21T00:00:00"/>
    <n v="4941.76"/>
    <s v="GBP"/>
    <s v="Partial"/>
    <s v="NA"/>
    <s v="Net 30"/>
    <n v="1157"/>
    <x v="0"/>
  </r>
  <r>
    <s v="AP10445"/>
    <s v="ABC Supplies"/>
    <d v="2023-11-04T00:00:00"/>
    <d v="2023-12-04T00:00:00"/>
    <n v="1079.6099999999999"/>
    <s v="USD"/>
    <s v="Open"/>
    <s v="NA"/>
    <s v="Net 30"/>
    <n v="930"/>
    <x v="0"/>
  </r>
  <r>
    <s v="AP10446"/>
    <s v="ABC Supplies"/>
    <d v="2023-05-26T00:00:00"/>
    <d v="2023-06-25T00:00:00"/>
    <n v="4688.33"/>
    <s v="AUD"/>
    <s v="Paid"/>
    <d v="2023-06-25T00:00:00"/>
    <s v="Net 30"/>
    <n v="1092"/>
    <x v="1"/>
  </r>
  <r>
    <s v="AP10447"/>
    <s v="ABC Supplies"/>
    <d v="2023-12-04T00:00:00"/>
    <d v="2024-01-03T00:00:00"/>
    <n v="705.05"/>
    <s v="USD"/>
    <s v="Partial"/>
    <s v="NA"/>
    <s v="Net 30"/>
    <n v="900"/>
    <x v="0"/>
  </r>
  <r>
    <s v="AP10448"/>
    <s v="Global Office"/>
    <d v="2023-05-22T00:00:00"/>
    <d v="2023-06-21T00:00:00"/>
    <n v="1193.94"/>
    <s v="CAD"/>
    <s v="Open"/>
    <s v="NA"/>
    <s v="Net 30"/>
    <n v="1096"/>
    <x v="0"/>
  </r>
  <r>
    <s v="AP10449"/>
    <s v="Global Office"/>
    <d v="2024-10-06T00:00:00"/>
    <d v="2024-11-05T00:00:00"/>
    <n v="232.29"/>
    <s v="USD"/>
    <s v="Paid"/>
    <d v="2024-11-05T00:00:00"/>
    <s v="Net 30"/>
    <n v="593"/>
    <x v="1"/>
  </r>
  <r>
    <s v="AP10450"/>
    <s v="Fast Travel"/>
    <d v="2024-01-26T00:00:00"/>
    <d v="2024-02-25T00:00:00"/>
    <n v="4202.26"/>
    <s v="EUR"/>
    <s v="Partial"/>
    <s v="NA"/>
    <s v="Net 30"/>
    <n v="847"/>
    <x v="0"/>
  </r>
  <r>
    <s v="AP10451"/>
    <s v="TechMart"/>
    <d v="2024-01-24T00:00:00"/>
    <d v="2024-02-23T00:00:00"/>
    <n v="3696.33"/>
    <s v="AUD"/>
    <s v="Paid"/>
    <d v="2024-02-23T00:00:00"/>
    <s v="Net 30"/>
    <n v="849"/>
    <x v="1"/>
  </r>
  <r>
    <s v="AP10452"/>
    <s v="Global Office"/>
    <d v="2024-01-28T00:00:00"/>
    <d v="2024-02-27T00:00:00"/>
    <n v="3133.53"/>
    <s v="USD"/>
    <s v="Paid"/>
    <d v="2024-02-27T00:00:00"/>
    <s v="Net 30"/>
    <n v="845"/>
    <x v="1"/>
  </r>
  <r>
    <s v="AP10453"/>
    <s v="BluePrints"/>
    <d v="2024-06-17T00:00:00"/>
    <d v="2024-07-17T00:00:00"/>
    <n v="2405.39"/>
    <s v="USD"/>
    <s v="Paid"/>
    <d v="2024-07-17T00:00:00"/>
    <s v="Net 30"/>
    <n v="704"/>
    <x v="1"/>
  </r>
  <r>
    <s v="AP10454"/>
    <s v="Global Office"/>
    <d v="2024-01-11T00:00:00"/>
    <d v="2024-02-10T00:00:00"/>
    <n v="1074.8499999999999"/>
    <s v="USD"/>
    <s v="Partial"/>
    <s v="NA"/>
    <s v="Net 30"/>
    <n v="862"/>
    <x v="0"/>
  </r>
  <r>
    <s v="AP10455"/>
    <s v="ABC Supplies"/>
    <d v="2024-12-22T00:00:00"/>
    <d v="2025-01-21T00:00:00"/>
    <n v="3359"/>
    <s v="GBP"/>
    <s v="Open"/>
    <s v="NA"/>
    <s v="Net 30"/>
    <n v="516"/>
    <x v="0"/>
  </r>
  <r>
    <s v="AP10456"/>
    <s v="TechMart"/>
    <d v="2025-02-12T00:00:00"/>
    <d v="2025-03-14T00:00:00"/>
    <n v="419.58"/>
    <s v="AUD"/>
    <s v="Paid"/>
    <d v="2025-03-14T00:00:00"/>
    <s v="Net 30"/>
    <n v="464"/>
    <x v="1"/>
  </r>
  <r>
    <s v="AP10457"/>
    <s v="Fast Travel"/>
    <d v="2024-03-25T00:00:00"/>
    <d v="2024-04-24T00:00:00"/>
    <n v="1704.27"/>
    <s v="CAD"/>
    <s v="Open"/>
    <s v="NA"/>
    <s v="Net 30"/>
    <n v="788"/>
    <x v="0"/>
  </r>
  <r>
    <s v="AP10458"/>
    <s v="ABC Supplies"/>
    <d v="2024-04-15T00:00:00"/>
    <d v="2024-05-15T00:00:00"/>
    <n v="1545.19"/>
    <s v="GBP"/>
    <s v="Paid"/>
    <d v="2024-05-15T00:00:00"/>
    <s v="Net 30"/>
    <n v="767"/>
    <x v="1"/>
  </r>
  <r>
    <s v="AP10459"/>
    <s v="ABC Supplies"/>
    <d v="2023-09-29T00:00:00"/>
    <d v="2023-10-29T00:00:00"/>
    <n v="3414.41"/>
    <s v="AUD"/>
    <s v="Partial"/>
    <s v="NA"/>
    <s v="Net 30"/>
    <n v="966"/>
    <x v="0"/>
  </r>
  <r>
    <s v="AP10460"/>
    <s v="BluePrints"/>
    <d v="2025-05-02T00:00:00"/>
    <d v="2025-06-01T00:00:00"/>
    <n v="3597.78"/>
    <s v="USD"/>
    <s v="Partial"/>
    <s v="NA"/>
    <s v="Net 30"/>
    <n v="385"/>
    <x v="0"/>
  </r>
  <r>
    <s v="AP10461"/>
    <s v="Fast Travel"/>
    <d v="2024-11-03T00:00:00"/>
    <d v="2024-12-03T00:00:00"/>
    <n v="2642.3"/>
    <s v="EUR"/>
    <s v="Open"/>
    <s v="NA"/>
    <s v="Net 30"/>
    <n v="565"/>
    <x v="0"/>
  </r>
  <r>
    <s v="AP10462"/>
    <s v="Fast Travel"/>
    <d v="2023-02-26T00:00:00"/>
    <d v="2023-03-28T00:00:00"/>
    <n v="4728.07"/>
    <s v="AUD"/>
    <s v="Partial"/>
    <s v="NA"/>
    <s v="Net 30"/>
    <n v="1181"/>
    <x v="0"/>
  </r>
  <r>
    <s v="AP10463"/>
    <s v="TechMart"/>
    <d v="2024-11-28T00:00:00"/>
    <d v="2024-12-28T00:00:00"/>
    <n v="1560.4"/>
    <s v="CAD"/>
    <s v="Partial"/>
    <s v="NA"/>
    <s v="Net 30"/>
    <n v="540"/>
    <x v="0"/>
  </r>
  <r>
    <s v="AP10464"/>
    <s v="Global Office"/>
    <d v="2024-03-23T00:00:00"/>
    <d v="2024-04-22T00:00:00"/>
    <n v="2026.99"/>
    <s v="GBP"/>
    <s v="Open"/>
    <s v="NA"/>
    <s v="Net 30"/>
    <n v="790"/>
    <x v="0"/>
  </r>
  <r>
    <s v="AP10465"/>
    <s v="BluePrints"/>
    <d v="2024-10-09T00:00:00"/>
    <d v="2024-11-08T00:00:00"/>
    <n v="1142.8399999999999"/>
    <s v="USD"/>
    <s v="Paid"/>
    <d v="2024-11-08T00:00:00"/>
    <s v="Net 30"/>
    <n v="590"/>
    <x v="1"/>
  </r>
  <r>
    <s v="AP10466"/>
    <s v="Global Office"/>
    <d v="2024-05-02T00:00:00"/>
    <d v="2024-06-01T00:00:00"/>
    <n v="3401.72"/>
    <s v="GBP"/>
    <s v="Open"/>
    <s v="NA"/>
    <s v="Net 30"/>
    <n v="750"/>
    <x v="0"/>
  </r>
  <r>
    <s v="AP10467"/>
    <s v="BluePrints"/>
    <d v="2023-05-30T00:00:00"/>
    <d v="2023-06-29T00:00:00"/>
    <n v="4753.22"/>
    <s v="GBP"/>
    <s v="Partial"/>
    <s v="NA"/>
    <s v="Net 30"/>
    <n v="1088"/>
    <x v="0"/>
  </r>
  <r>
    <s v="AP10468"/>
    <s v="BluePrints"/>
    <d v="2025-05-12T00:00:00"/>
    <d v="2025-06-11T00:00:00"/>
    <n v="3640.83"/>
    <s v="GBP"/>
    <s v="Partial"/>
    <s v="NA"/>
    <s v="Net 30"/>
    <n v="375"/>
    <x v="0"/>
  </r>
  <r>
    <s v="AP10469"/>
    <s v="Fast Travel"/>
    <d v="2024-03-07T00:00:00"/>
    <d v="2024-04-06T00:00:00"/>
    <n v="2662.58"/>
    <s v="CAD"/>
    <s v="Partial"/>
    <s v="NA"/>
    <s v="Net 30"/>
    <n v="806"/>
    <x v="0"/>
  </r>
  <r>
    <s v="AP10470"/>
    <s v="BluePrints"/>
    <d v="2024-11-23T00:00:00"/>
    <d v="2024-12-23T00:00:00"/>
    <n v="212.92"/>
    <s v="EUR"/>
    <s v="Open"/>
    <s v="NA"/>
    <s v="Net 30"/>
    <n v="545"/>
    <x v="0"/>
  </r>
  <r>
    <s v="AP10471"/>
    <s v="BluePrints"/>
    <d v="2023-11-24T00:00:00"/>
    <d v="2023-12-24T00:00:00"/>
    <n v="980.09"/>
    <s v="GBP"/>
    <s v="Paid"/>
    <d v="2023-12-24T00:00:00"/>
    <s v="Net 30"/>
    <n v="910"/>
    <x v="1"/>
  </r>
  <r>
    <s v="AP10472"/>
    <s v="ABC Supplies"/>
    <d v="2023-12-02T00:00:00"/>
    <d v="2024-01-01T00:00:00"/>
    <n v="1179.8800000000001"/>
    <s v="GBP"/>
    <s v="Open"/>
    <s v="NA"/>
    <s v="Net 30"/>
    <n v="902"/>
    <x v="0"/>
  </r>
  <r>
    <s v="AP10473"/>
    <s v="Fast Travel"/>
    <d v="2024-02-02T00:00:00"/>
    <d v="2024-03-03T00:00:00"/>
    <n v="1750.63"/>
    <s v="AUD"/>
    <s v="Open"/>
    <s v="NA"/>
    <s v="Net 30"/>
    <n v="840"/>
    <x v="0"/>
  </r>
  <r>
    <s v="AP10474"/>
    <s v="Fast Travel"/>
    <d v="2024-11-28T00:00:00"/>
    <d v="2024-12-28T00:00:00"/>
    <n v="3207.4"/>
    <s v="AUD"/>
    <s v="Paid"/>
    <d v="2024-12-28T00:00:00"/>
    <s v="Net 30"/>
    <n v="540"/>
    <x v="1"/>
  </r>
  <r>
    <s v="AP10475"/>
    <s v="Fast Travel"/>
    <d v="2023-10-30T00:00:00"/>
    <d v="2023-11-29T00:00:00"/>
    <n v="2412.71"/>
    <s v="EUR"/>
    <s v="Paid"/>
    <d v="2023-11-29T00:00:00"/>
    <s v="Net 30"/>
    <n v="935"/>
    <x v="1"/>
  </r>
  <r>
    <s v="AP10476"/>
    <s v="TechMart"/>
    <d v="2023-11-05T00:00:00"/>
    <d v="2023-12-05T00:00:00"/>
    <n v="382.4"/>
    <s v="USD"/>
    <s v="Partial"/>
    <s v="NA"/>
    <s v="Net 30"/>
    <n v="929"/>
    <x v="0"/>
  </r>
  <r>
    <s v="AP10477"/>
    <s v="ABC Supplies"/>
    <d v="2023-06-29T00:00:00"/>
    <d v="2023-07-29T00:00:00"/>
    <n v="4004.66"/>
    <s v="CAD"/>
    <s v="Paid"/>
    <d v="2023-07-29T00:00:00"/>
    <s v="Net 30"/>
    <n v="1058"/>
    <x v="1"/>
  </r>
  <r>
    <s v="AP10478"/>
    <s v="Global Office"/>
    <d v="2024-02-20T00:00:00"/>
    <d v="2024-03-21T00:00:00"/>
    <n v="4777.58"/>
    <s v="AUD"/>
    <s v="Open"/>
    <s v="NA"/>
    <s v="Net 30"/>
    <n v="822"/>
    <x v="0"/>
  </r>
  <r>
    <s v="AP10479"/>
    <s v="Fast Travel"/>
    <d v="2023-09-16T00:00:00"/>
    <d v="2023-10-16T00:00:00"/>
    <n v="1599.7"/>
    <s v="GBP"/>
    <s v="Partial"/>
    <s v="NA"/>
    <s v="Net 30"/>
    <n v="979"/>
    <x v="0"/>
  </r>
  <r>
    <s v="AP10480"/>
    <s v="Fast Travel"/>
    <d v="2025-02-19T00:00:00"/>
    <d v="2025-03-21T00:00:00"/>
    <n v="4973.3"/>
    <s v="USD"/>
    <s v="Open"/>
    <s v="NA"/>
    <s v="Net 30"/>
    <n v="457"/>
    <x v="0"/>
  </r>
  <r>
    <s v="AP10481"/>
    <s v="ABC Supplies"/>
    <d v="2023-06-22T00:00:00"/>
    <d v="2023-07-22T00:00:00"/>
    <n v="717.91"/>
    <s v="EUR"/>
    <s v="Open"/>
    <s v="NA"/>
    <s v="Net 30"/>
    <n v="1065"/>
    <x v="0"/>
  </r>
  <r>
    <s v="AP10482"/>
    <s v="Global Office"/>
    <d v="2025-01-27T00:00:00"/>
    <d v="2025-02-26T00:00:00"/>
    <n v="1388.79"/>
    <s v="GBP"/>
    <s v="Paid"/>
    <d v="2025-02-26T00:00:00"/>
    <s v="Net 30"/>
    <n v="480"/>
    <x v="1"/>
  </r>
  <r>
    <s v="AP10483"/>
    <s v="BluePrints"/>
    <d v="2025-06-15T00:00:00"/>
    <d v="2025-07-15T00:00:00"/>
    <n v="669.06"/>
    <s v="GBP"/>
    <s v="Paid"/>
    <d v="2025-07-15T00:00:00"/>
    <s v="Net 30"/>
    <n v="341"/>
    <x v="1"/>
  </r>
  <r>
    <s v="AP10484"/>
    <s v="ABC Supplies"/>
    <d v="2023-09-23T00:00:00"/>
    <d v="2023-10-23T00:00:00"/>
    <n v="158.72"/>
    <s v="AUD"/>
    <s v="Paid"/>
    <d v="2023-10-23T00:00:00"/>
    <s v="Net 30"/>
    <n v="972"/>
    <x v="1"/>
  </r>
  <r>
    <s v="AP10485"/>
    <s v="TechMart"/>
    <d v="2024-02-24T00:00:00"/>
    <d v="2024-03-25T00:00:00"/>
    <n v="502.65"/>
    <s v="USD"/>
    <s v="Partial"/>
    <s v="NA"/>
    <s v="Net 30"/>
    <n v="818"/>
    <x v="0"/>
  </r>
  <r>
    <s v="AP10486"/>
    <s v="Global Office"/>
    <d v="2023-02-14T00:00:00"/>
    <d v="2023-03-16T00:00:00"/>
    <n v="2135.0100000000002"/>
    <s v="EUR"/>
    <s v="Open"/>
    <s v="NA"/>
    <s v="Net 30"/>
    <n v="1193"/>
    <x v="0"/>
  </r>
  <r>
    <s v="AP10487"/>
    <s v="TechMart"/>
    <d v="2023-01-11T00:00:00"/>
    <d v="2023-02-10T00:00:00"/>
    <n v="386.6"/>
    <s v="USD"/>
    <s v="Partial"/>
    <s v="NA"/>
    <s v="Net 30"/>
    <n v="1227"/>
    <x v="0"/>
  </r>
  <r>
    <s v="AP10488"/>
    <s v="Global Office"/>
    <d v="2023-07-24T00:00:00"/>
    <d v="2023-08-23T00:00:00"/>
    <n v="3185.2"/>
    <s v="USD"/>
    <s v="Open"/>
    <s v="NA"/>
    <s v="Net 30"/>
    <n v="1033"/>
    <x v="0"/>
  </r>
  <r>
    <s v="AP10489"/>
    <s v="Global Office"/>
    <d v="2024-04-05T00:00:00"/>
    <d v="2024-05-05T00:00:00"/>
    <n v="2817.08"/>
    <s v="CAD"/>
    <s v="Partial"/>
    <s v="NA"/>
    <s v="Net 30"/>
    <n v="777"/>
    <x v="0"/>
  </r>
  <r>
    <s v="AP10490"/>
    <s v="TechMart"/>
    <d v="2023-03-06T00:00:00"/>
    <d v="2023-04-05T00:00:00"/>
    <n v="3897.98"/>
    <s v="AUD"/>
    <s v="Paid"/>
    <d v="2023-04-05T00:00:00"/>
    <s v="Net 30"/>
    <n v="1173"/>
    <x v="1"/>
  </r>
  <r>
    <s v="AP10491"/>
    <s v="Global Office"/>
    <d v="2024-12-05T00:00:00"/>
    <d v="2025-01-04T00:00:00"/>
    <n v="3623.95"/>
    <s v="USD"/>
    <s v="Partial"/>
    <s v="NA"/>
    <s v="Net 30"/>
    <n v="533"/>
    <x v="0"/>
  </r>
  <r>
    <s v="AP10492"/>
    <s v="ABC Supplies"/>
    <d v="2024-05-21T00:00:00"/>
    <d v="2024-06-20T00:00:00"/>
    <n v="1803.9"/>
    <s v="USD"/>
    <s v="Partial"/>
    <s v="NA"/>
    <s v="Net 30"/>
    <n v="731"/>
    <x v="0"/>
  </r>
  <r>
    <s v="AP10493"/>
    <s v="BluePrints"/>
    <d v="2023-06-29T00:00:00"/>
    <d v="2023-07-29T00:00:00"/>
    <n v="2543.84"/>
    <s v="USD"/>
    <s v="Partial"/>
    <s v="NA"/>
    <s v="Net 30"/>
    <n v="1058"/>
    <x v="0"/>
  </r>
  <r>
    <s v="AP10494"/>
    <s v="TechMart"/>
    <d v="2023-07-21T00:00:00"/>
    <d v="2023-08-20T00:00:00"/>
    <n v="292.57"/>
    <s v="CAD"/>
    <s v="Open"/>
    <s v="NA"/>
    <s v="Net 30"/>
    <n v="1036"/>
    <x v="0"/>
  </r>
  <r>
    <s v="AP10495"/>
    <s v="ABC Supplies"/>
    <d v="2024-08-18T00:00:00"/>
    <d v="2024-09-17T00:00:00"/>
    <n v="688.61"/>
    <s v="USD"/>
    <s v="Paid"/>
    <d v="2024-09-17T00:00:00"/>
    <s v="Net 30"/>
    <n v="642"/>
    <x v="1"/>
  </r>
  <r>
    <s v="AP10496"/>
    <s v="Global Office"/>
    <d v="2023-12-28T00:00:00"/>
    <d v="2024-01-27T00:00:00"/>
    <n v="1121.18"/>
    <s v="USD"/>
    <s v="Partial"/>
    <s v="NA"/>
    <s v="Net 30"/>
    <n v="876"/>
    <x v="0"/>
  </r>
  <r>
    <s v="AP10497"/>
    <s v="Fast Travel"/>
    <d v="2024-04-13T00:00:00"/>
    <d v="2024-05-13T00:00:00"/>
    <n v="3953.98"/>
    <s v="EUR"/>
    <s v="Partial"/>
    <s v="NA"/>
    <s v="Net 30"/>
    <n v="769"/>
    <x v="0"/>
  </r>
  <r>
    <s v="AP10498"/>
    <s v="ABC Supplies"/>
    <d v="2024-02-05T00:00:00"/>
    <d v="2024-03-06T00:00:00"/>
    <n v="597.75"/>
    <s v="USD"/>
    <s v="Open"/>
    <s v="NA"/>
    <s v="Net 30"/>
    <n v="837"/>
    <x v="0"/>
  </r>
  <r>
    <s v="AP10499"/>
    <s v="BluePrints"/>
    <d v="2025-01-23T00:00:00"/>
    <d v="2025-02-22T00:00:00"/>
    <n v="1752.55"/>
    <s v="USD"/>
    <s v="Open"/>
    <s v="NA"/>
    <s v="Net 30"/>
    <n v="484"/>
    <x v="0"/>
  </r>
  <r>
    <s v="AP10500"/>
    <s v="ABC Supplies"/>
    <d v="2023-03-13T00:00:00"/>
    <d v="2023-04-12T00:00:00"/>
    <n v="3490.73"/>
    <s v="EUR"/>
    <s v="Open"/>
    <s v="NA"/>
    <s v="Net 30"/>
    <n v="1166"/>
    <x v="0"/>
  </r>
  <r>
    <s v="AP10501"/>
    <s v="BluePrints"/>
    <d v="2024-10-19T00:00:00"/>
    <d v="2024-11-18T00:00:00"/>
    <n v="1143.7"/>
    <s v="AUD"/>
    <s v="Partial"/>
    <s v="NA"/>
    <s v="Net 30"/>
    <n v="580"/>
    <x v="0"/>
  </r>
  <r>
    <s v="AP10502"/>
    <s v="TechMart"/>
    <d v="2024-09-20T00:00:00"/>
    <d v="2024-10-20T00:00:00"/>
    <n v="636.6"/>
    <s v="EUR"/>
    <s v="Paid"/>
    <d v="2024-10-20T00:00:00"/>
    <s v="Net 30"/>
    <n v="609"/>
    <x v="1"/>
  </r>
  <r>
    <s v="AP10503"/>
    <s v="Fast Travel"/>
    <d v="2025-04-14T00:00:00"/>
    <d v="2025-05-14T00:00:00"/>
    <n v="3339.54"/>
    <s v="EUR"/>
    <s v="Open"/>
    <s v="NA"/>
    <s v="Net 30"/>
    <n v="403"/>
    <x v="0"/>
  </r>
  <r>
    <s v="AP10504"/>
    <s v="BluePrints"/>
    <d v="2024-12-15T00:00:00"/>
    <d v="2025-01-14T00:00:00"/>
    <n v="3555.72"/>
    <s v="EUR"/>
    <s v="Partial"/>
    <s v="NA"/>
    <s v="Net 30"/>
    <n v="523"/>
    <x v="0"/>
  </r>
  <r>
    <s v="AP10505"/>
    <s v="ABC Supplies"/>
    <d v="2025-04-30T00:00:00"/>
    <d v="2025-05-30T00:00:00"/>
    <n v="2971.5"/>
    <s v="USD"/>
    <s v="Open"/>
    <s v="NA"/>
    <s v="Net 30"/>
    <n v="387"/>
    <x v="0"/>
  </r>
  <r>
    <s v="AP10506"/>
    <s v="BluePrints"/>
    <d v="2025-05-09T00:00:00"/>
    <d v="2025-06-08T00:00:00"/>
    <n v="2945.39"/>
    <s v="AUD"/>
    <s v="Paid"/>
    <d v="2025-06-08T00:00:00"/>
    <s v="Net 30"/>
    <n v="378"/>
    <x v="1"/>
  </r>
  <r>
    <s v="AP10507"/>
    <s v="ABC Supplies"/>
    <d v="2024-06-29T00:00:00"/>
    <d v="2024-07-29T00:00:00"/>
    <n v="4563.8"/>
    <s v="GBP"/>
    <s v="Paid"/>
    <d v="2024-07-29T00:00:00"/>
    <s v="Net 30"/>
    <n v="692"/>
    <x v="1"/>
  </r>
  <r>
    <s v="AP10508"/>
    <s v="ABC Supplies"/>
    <d v="2023-03-17T00:00:00"/>
    <d v="2023-04-16T00:00:00"/>
    <n v="3590.5"/>
    <s v="AUD"/>
    <s v="Open"/>
    <s v="NA"/>
    <s v="Net 30"/>
    <n v="1162"/>
    <x v="0"/>
  </r>
  <r>
    <s v="AP10509"/>
    <s v="ABC Supplies"/>
    <d v="2023-01-22T00:00:00"/>
    <d v="2023-02-21T00:00:00"/>
    <n v="1989.22"/>
    <s v="EUR"/>
    <s v="Partial"/>
    <s v="NA"/>
    <s v="Net 30"/>
    <n v="1216"/>
    <x v="0"/>
  </r>
  <r>
    <s v="AP10510"/>
    <s v="BluePrints"/>
    <d v="2023-01-04T00:00:00"/>
    <d v="2023-02-03T00:00:00"/>
    <n v="4650.78"/>
    <s v="CAD"/>
    <s v="Open"/>
    <s v="NA"/>
    <s v="Net 30"/>
    <n v="1234"/>
    <x v="0"/>
  </r>
  <r>
    <s v="AP10511"/>
    <s v="TechMart"/>
    <d v="2023-07-11T00:00:00"/>
    <d v="2023-08-10T00:00:00"/>
    <n v="3071.51"/>
    <s v="CAD"/>
    <s v="Partial"/>
    <s v="NA"/>
    <s v="Net 30"/>
    <n v="1046"/>
    <x v="0"/>
  </r>
  <r>
    <s v="AP10512"/>
    <s v="ABC Supplies"/>
    <d v="2023-09-27T00:00:00"/>
    <d v="2023-10-27T00:00:00"/>
    <n v="4956.1099999999997"/>
    <s v="GBP"/>
    <s v="Open"/>
    <s v="NA"/>
    <s v="Net 30"/>
    <n v="968"/>
    <x v="0"/>
  </r>
  <r>
    <s v="AP10513"/>
    <s v="BluePrints"/>
    <d v="2024-06-03T00:00:00"/>
    <d v="2024-07-03T00:00:00"/>
    <n v="2561.35"/>
    <s v="AUD"/>
    <s v="Open"/>
    <s v="NA"/>
    <s v="Net 30"/>
    <n v="718"/>
    <x v="0"/>
  </r>
  <r>
    <s v="AP10514"/>
    <s v="ABC Supplies"/>
    <d v="2024-12-11T00:00:00"/>
    <d v="2025-01-10T00:00:00"/>
    <n v="3812.86"/>
    <s v="GBP"/>
    <s v="Open"/>
    <s v="NA"/>
    <s v="Net 30"/>
    <n v="527"/>
    <x v="0"/>
  </r>
  <r>
    <s v="AP10515"/>
    <s v="Fast Travel"/>
    <d v="2023-12-31T00:00:00"/>
    <d v="2024-01-30T00:00:00"/>
    <n v="4798.3"/>
    <s v="CAD"/>
    <s v="Open"/>
    <s v="NA"/>
    <s v="Net 30"/>
    <n v="873"/>
    <x v="0"/>
  </r>
  <r>
    <s v="AP10516"/>
    <s v="Fast Travel"/>
    <d v="2024-09-03T00:00:00"/>
    <d v="2024-10-03T00:00:00"/>
    <n v="2626.26"/>
    <s v="CAD"/>
    <s v="Open"/>
    <s v="NA"/>
    <s v="Net 30"/>
    <n v="626"/>
    <x v="0"/>
  </r>
  <r>
    <s v="AP10517"/>
    <s v="TechMart"/>
    <d v="2023-09-04T00:00:00"/>
    <d v="2023-10-04T00:00:00"/>
    <n v="1667.91"/>
    <s v="CAD"/>
    <s v="Open"/>
    <s v="NA"/>
    <s v="Net 30"/>
    <n v="991"/>
    <x v="0"/>
  </r>
  <r>
    <s v="AP10518"/>
    <s v="BluePrints"/>
    <d v="2025-06-17T00:00:00"/>
    <d v="2025-07-17T00:00:00"/>
    <n v="556.64"/>
    <s v="USD"/>
    <s v="Partial"/>
    <s v="NA"/>
    <s v="Net 30"/>
    <n v="339"/>
    <x v="0"/>
  </r>
  <r>
    <s v="AP10519"/>
    <s v="Global Office"/>
    <d v="2025-01-14T00:00:00"/>
    <d v="2025-02-13T00:00:00"/>
    <n v="2084.02"/>
    <s v="EUR"/>
    <s v="Partial"/>
    <s v="NA"/>
    <s v="Net 30"/>
    <n v="493"/>
    <x v="0"/>
  </r>
  <r>
    <s v="AP10520"/>
    <s v="TechMart"/>
    <d v="2024-02-26T00:00:00"/>
    <d v="2024-03-27T00:00:00"/>
    <n v="1225.05"/>
    <s v="GBP"/>
    <s v="Partial"/>
    <s v="NA"/>
    <s v="Net 30"/>
    <n v="816"/>
    <x v="0"/>
  </r>
  <r>
    <s v="AP10521"/>
    <s v="Fast Travel"/>
    <d v="2023-01-11T00:00:00"/>
    <d v="2023-02-10T00:00:00"/>
    <n v="1607.66"/>
    <s v="AUD"/>
    <s v="Partial"/>
    <s v="NA"/>
    <s v="Net 30"/>
    <n v="1227"/>
    <x v="0"/>
  </r>
  <r>
    <s v="AP10522"/>
    <s v="BluePrints"/>
    <d v="2024-06-09T00:00:00"/>
    <d v="2024-07-09T00:00:00"/>
    <n v="2772.97"/>
    <s v="GBP"/>
    <s v="Paid"/>
    <d v="2024-07-09T00:00:00"/>
    <s v="Net 30"/>
    <n v="712"/>
    <x v="1"/>
  </r>
  <r>
    <s v="AP10523"/>
    <s v="Global Office"/>
    <d v="2024-10-31T00:00:00"/>
    <d v="2024-11-30T00:00:00"/>
    <n v="1641.38"/>
    <s v="AUD"/>
    <s v="Partial"/>
    <s v="NA"/>
    <s v="Net 30"/>
    <n v="568"/>
    <x v="0"/>
  </r>
  <r>
    <s v="AP10524"/>
    <s v="ABC Supplies"/>
    <d v="2024-09-04T00:00:00"/>
    <d v="2024-10-04T00:00:00"/>
    <n v="549.14"/>
    <s v="AUD"/>
    <s v="Paid"/>
    <d v="2024-10-04T00:00:00"/>
    <s v="Net 30"/>
    <n v="625"/>
    <x v="1"/>
  </r>
  <r>
    <s v="AP10525"/>
    <s v="TechMart"/>
    <d v="2024-09-23T00:00:00"/>
    <d v="2024-10-23T00:00:00"/>
    <n v="3700.73"/>
    <s v="GBP"/>
    <s v="Open"/>
    <s v="NA"/>
    <s v="Net 30"/>
    <n v="606"/>
    <x v="0"/>
  </r>
  <r>
    <s v="AP10526"/>
    <s v="TechMart"/>
    <d v="2024-01-24T00:00:00"/>
    <d v="2024-02-23T00:00:00"/>
    <n v="1616.2"/>
    <s v="CAD"/>
    <s v="Partial"/>
    <s v="NA"/>
    <s v="Net 30"/>
    <n v="849"/>
    <x v="0"/>
  </r>
  <r>
    <s v="AP10527"/>
    <s v="BluePrints"/>
    <d v="2025-03-02T00:00:00"/>
    <d v="2025-04-01T00:00:00"/>
    <n v="233.75"/>
    <s v="EUR"/>
    <s v="Partial"/>
    <s v="NA"/>
    <s v="Net 30"/>
    <n v="446"/>
    <x v="0"/>
  </r>
  <r>
    <s v="AP10528"/>
    <s v="BluePrints"/>
    <d v="2024-10-16T00:00:00"/>
    <d v="2024-11-15T00:00:00"/>
    <n v="1198.76"/>
    <s v="AUD"/>
    <s v="Partial"/>
    <s v="NA"/>
    <s v="Net 30"/>
    <n v="583"/>
    <x v="0"/>
  </r>
  <r>
    <s v="AP10529"/>
    <s v="TechMart"/>
    <d v="2025-06-18T00:00:00"/>
    <d v="2025-07-18T00:00:00"/>
    <n v="1819.59"/>
    <s v="GBP"/>
    <s v="Partial"/>
    <s v="NA"/>
    <s v="Net 30"/>
    <n v="338"/>
    <x v="0"/>
  </r>
  <r>
    <s v="AP10530"/>
    <s v="TechMart"/>
    <d v="2025-02-02T00:00:00"/>
    <d v="2025-03-04T00:00:00"/>
    <n v="3747.3"/>
    <s v="CAD"/>
    <s v="Paid"/>
    <d v="2025-03-04T00:00:00"/>
    <s v="Net 30"/>
    <n v="474"/>
    <x v="1"/>
  </r>
  <r>
    <s v="AP10531"/>
    <s v="Fast Travel"/>
    <d v="2023-08-16T00:00:00"/>
    <d v="2023-09-15T00:00:00"/>
    <n v="4706.8100000000004"/>
    <s v="EUR"/>
    <s v="Paid"/>
    <d v="2023-09-15T00:00:00"/>
    <s v="Net 30"/>
    <n v="1010"/>
    <x v="1"/>
  </r>
  <r>
    <s v="AP10532"/>
    <s v="Global Office"/>
    <d v="2025-05-05T00:00:00"/>
    <d v="2025-06-04T00:00:00"/>
    <n v="2329.4299999999998"/>
    <s v="CAD"/>
    <s v="Partial"/>
    <s v="NA"/>
    <s v="Net 30"/>
    <n v="382"/>
    <x v="0"/>
  </r>
  <r>
    <s v="AP10533"/>
    <s v="ABC Supplies"/>
    <d v="2024-08-12T00:00:00"/>
    <d v="2024-09-11T00:00:00"/>
    <n v="3499.14"/>
    <s v="GBP"/>
    <s v="Partial"/>
    <s v="NA"/>
    <s v="Net 30"/>
    <n v="648"/>
    <x v="0"/>
  </r>
  <r>
    <s v="AP10534"/>
    <s v="Global Office"/>
    <d v="2023-08-08T00:00:00"/>
    <d v="2023-09-07T00:00:00"/>
    <n v="3732.67"/>
    <s v="GBP"/>
    <s v="Paid"/>
    <d v="2023-09-07T00:00:00"/>
    <s v="Net 30"/>
    <n v="1018"/>
    <x v="1"/>
  </r>
  <r>
    <s v="AP10535"/>
    <s v="Global Office"/>
    <d v="2024-09-07T00:00:00"/>
    <d v="2024-10-07T00:00:00"/>
    <n v="365.59"/>
    <s v="CAD"/>
    <s v="Open"/>
    <s v="NA"/>
    <s v="Net 30"/>
    <n v="622"/>
    <x v="0"/>
  </r>
  <r>
    <s v="AP10536"/>
    <s v="TechMart"/>
    <d v="2024-04-01T00:00:00"/>
    <d v="2024-05-01T00:00:00"/>
    <n v="3778.67"/>
    <s v="EUR"/>
    <s v="Open"/>
    <s v="NA"/>
    <s v="Net 30"/>
    <n v="781"/>
    <x v="0"/>
  </r>
  <r>
    <s v="AP10537"/>
    <s v="ABC Supplies"/>
    <d v="2024-04-15T00:00:00"/>
    <d v="2024-05-15T00:00:00"/>
    <n v="4324.6400000000003"/>
    <s v="EUR"/>
    <s v="Partial"/>
    <s v="NA"/>
    <s v="Net 30"/>
    <n v="767"/>
    <x v="0"/>
  </r>
  <r>
    <s v="AP10538"/>
    <s v="TechMart"/>
    <d v="2024-07-27T00:00:00"/>
    <d v="2024-08-26T00:00:00"/>
    <n v="3648.16"/>
    <s v="CAD"/>
    <s v="Paid"/>
    <d v="2024-08-26T00:00:00"/>
    <s v="Net 30"/>
    <n v="664"/>
    <x v="1"/>
  </r>
  <r>
    <s v="AP10539"/>
    <s v="Fast Travel"/>
    <d v="2025-03-11T00:00:00"/>
    <d v="2025-04-10T00:00:00"/>
    <n v="106.75"/>
    <s v="AUD"/>
    <s v="Paid"/>
    <d v="2025-04-10T00:00:00"/>
    <s v="Net 30"/>
    <n v="437"/>
    <x v="1"/>
  </r>
  <r>
    <s v="AP10540"/>
    <s v="Fast Travel"/>
    <d v="2023-01-21T00:00:00"/>
    <d v="2023-02-20T00:00:00"/>
    <n v="2259.02"/>
    <s v="CAD"/>
    <s v="Partial"/>
    <s v="NA"/>
    <s v="Net 30"/>
    <n v="1217"/>
    <x v="0"/>
  </r>
  <r>
    <s v="AP10541"/>
    <s v="Global Office"/>
    <d v="2023-01-15T00:00:00"/>
    <d v="2023-02-14T00:00:00"/>
    <n v="2046.68"/>
    <s v="CAD"/>
    <s v="Open"/>
    <s v="NA"/>
    <s v="Net 30"/>
    <n v="1223"/>
    <x v="0"/>
  </r>
  <r>
    <s v="AP10542"/>
    <s v="Global Office"/>
    <d v="2025-05-05T00:00:00"/>
    <d v="2025-06-04T00:00:00"/>
    <n v="3776.36"/>
    <s v="GBP"/>
    <s v="Paid"/>
    <d v="2025-06-04T00:00:00"/>
    <s v="Net 30"/>
    <n v="382"/>
    <x v="1"/>
  </r>
  <r>
    <s v="AP10543"/>
    <s v="Fast Travel"/>
    <d v="2025-06-07T00:00:00"/>
    <d v="2025-07-07T00:00:00"/>
    <n v="2839.95"/>
    <s v="EUR"/>
    <s v="Paid"/>
    <d v="2025-07-07T00:00:00"/>
    <s v="Net 30"/>
    <n v="349"/>
    <x v="1"/>
  </r>
  <r>
    <s v="AP10544"/>
    <s v="Fast Travel"/>
    <d v="2023-07-15T00:00:00"/>
    <d v="2023-08-14T00:00:00"/>
    <n v="2261.9499999999998"/>
    <s v="GBP"/>
    <s v="Open"/>
    <s v="NA"/>
    <s v="Net 30"/>
    <n v="1042"/>
    <x v="0"/>
  </r>
  <r>
    <s v="AP10545"/>
    <s v="Fast Travel"/>
    <d v="2025-01-29T00:00:00"/>
    <d v="2025-02-28T00:00:00"/>
    <n v="104.02"/>
    <s v="EUR"/>
    <s v="Partial"/>
    <s v="NA"/>
    <s v="Net 30"/>
    <n v="478"/>
    <x v="0"/>
  </r>
  <r>
    <s v="AP10546"/>
    <s v="TechMart"/>
    <d v="2025-06-10T00:00:00"/>
    <d v="2025-07-10T00:00:00"/>
    <n v="3899.93"/>
    <s v="GBP"/>
    <s v="Partial"/>
    <s v="NA"/>
    <s v="Net 30"/>
    <n v="346"/>
    <x v="0"/>
  </r>
  <r>
    <s v="AP10547"/>
    <s v="Global Office"/>
    <d v="2024-07-03T00:00:00"/>
    <d v="2024-08-02T00:00:00"/>
    <n v="276.7"/>
    <s v="EUR"/>
    <s v="Open"/>
    <s v="NA"/>
    <s v="Net 30"/>
    <n v="688"/>
    <x v="0"/>
  </r>
  <r>
    <s v="AP10548"/>
    <s v="BluePrints"/>
    <d v="2023-06-19T00:00:00"/>
    <d v="2023-07-19T00:00:00"/>
    <n v="4610.3100000000004"/>
    <s v="USD"/>
    <s v="Partial"/>
    <s v="NA"/>
    <s v="Net 30"/>
    <n v="1068"/>
    <x v="0"/>
  </r>
  <r>
    <s v="AP10549"/>
    <s v="ABC Supplies"/>
    <d v="2025-06-04T00:00:00"/>
    <d v="2025-07-04T00:00:00"/>
    <n v="1285.1300000000001"/>
    <s v="GBP"/>
    <s v="Paid"/>
    <d v="2025-07-04T00:00:00"/>
    <s v="Net 30"/>
    <n v="352"/>
    <x v="1"/>
  </r>
  <r>
    <s v="AP10550"/>
    <s v="TechMart"/>
    <d v="2023-05-23T00:00:00"/>
    <d v="2023-06-22T00:00:00"/>
    <n v="3752.28"/>
    <s v="GBP"/>
    <s v="Partial"/>
    <s v="NA"/>
    <s v="Net 30"/>
    <n v="1095"/>
    <x v="0"/>
  </r>
  <r>
    <s v="AP10551"/>
    <s v="Fast Travel"/>
    <d v="2023-11-04T00:00:00"/>
    <d v="2023-12-04T00:00:00"/>
    <n v="3746.16"/>
    <s v="GBP"/>
    <s v="Open"/>
    <s v="NA"/>
    <s v="Net 30"/>
    <n v="930"/>
    <x v="0"/>
  </r>
  <r>
    <s v="AP10552"/>
    <s v="BluePrints"/>
    <d v="2024-12-18T00:00:00"/>
    <d v="2025-01-17T00:00:00"/>
    <n v="4464.8999999999996"/>
    <s v="USD"/>
    <s v="Paid"/>
    <d v="2025-01-17T00:00:00"/>
    <s v="Net 30"/>
    <n v="520"/>
    <x v="1"/>
  </r>
  <r>
    <s v="AP10553"/>
    <s v="TechMart"/>
    <d v="2024-06-28T00:00:00"/>
    <d v="2024-07-28T00:00:00"/>
    <n v="4957.1499999999996"/>
    <s v="USD"/>
    <s v="Open"/>
    <s v="NA"/>
    <s v="Net 30"/>
    <n v="693"/>
    <x v="0"/>
  </r>
  <r>
    <s v="AP10554"/>
    <s v="Global Office"/>
    <d v="2024-07-30T00:00:00"/>
    <d v="2024-08-29T00:00:00"/>
    <n v="129.91"/>
    <s v="GBP"/>
    <s v="Open"/>
    <s v="NA"/>
    <s v="Net 30"/>
    <n v="661"/>
    <x v="0"/>
  </r>
  <r>
    <s v="AP10555"/>
    <s v="Fast Travel"/>
    <d v="2023-06-03T00:00:00"/>
    <d v="2023-07-03T00:00:00"/>
    <n v="4151.46"/>
    <s v="AUD"/>
    <s v="Paid"/>
    <d v="2023-07-03T00:00:00"/>
    <s v="Net 30"/>
    <n v="1084"/>
    <x v="1"/>
  </r>
  <r>
    <s v="AP10556"/>
    <s v="TechMart"/>
    <d v="2024-02-23T00:00:00"/>
    <d v="2024-03-24T00:00:00"/>
    <n v="4386"/>
    <s v="AUD"/>
    <s v="Open"/>
    <s v="NA"/>
    <s v="Net 30"/>
    <n v="819"/>
    <x v="0"/>
  </r>
  <r>
    <s v="AP10557"/>
    <s v="Global Office"/>
    <d v="2024-06-09T00:00:00"/>
    <d v="2024-07-09T00:00:00"/>
    <n v="2792.29"/>
    <s v="AUD"/>
    <s v="Paid"/>
    <d v="2024-07-09T00:00:00"/>
    <s v="Net 30"/>
    <n v="712"/>
    <x v="1"/>
  </r>
  <r>
    <s v="AP10558"/>
    <s v="TechMart"/>
    <d v="2025-03-22T00:00:00"/>
    <d v="2025-04-21T00:00:00"/>
    <n v="2307.9"/>
    <s v="GBP"/>
    <s v="Open"/>
    <s v="NA"/>
    <s v="Net 30"/>
    <n v="426"/>
    <x v="0"/>
  </r>
  <r>
    <s v="AP10559"/>
    <s v="BluePrints"/>
    <d v="2024-09-02T00:00:00"/>
    <d v="2024-10-02T00:00:00"/>
    <n v="1432.07"/>
    <s v="AUD"/>
    <s v="Paid"/>
    <d v="2024-10-02T00:00:00"/>
    <s v="Net 30"/>
    <n v="627"/>
    <x v="1"/>
  </r>
  <r>
    <s v="AP10560"/>
    <s v="Global Office"/>
    <d v="2024-06-29T00:00:00"/>
    <d v="2024-07-29T00:00:00"/>
    <n v="2127.41"/>
    <s v="USD"/>
    <s v="Open"/>
    <s v="NA"/>
    <s v="Net 30"/>
    <n v="692"/>
    <x v="0"/>
  </r>
  <r>
    <s v="AP10561"/>
    <s v="ABC Supplies"/>
    <d v="2024-11-27T00:00:00"/>
    <d v="2024-12-27T00:00:00"/>
    <n v="254.96"/>
    <s v="GBP"/>
    <s v="Paid"/>
    <d v="2024-12-27T00:00:00"/>
    <s v="Net 30"/>
    <n v="541"/>
    <x v="1"/>
  </r>
  <r>
    <s v="AP10562"/>
    <s v="Global Office"/>
    <d v="2023-08-22T00:00:00"/>
    <d v="2023-09-21T00:00:00"/>
    <n v="2704.91"/>
    <s v="AUD"/>
    <s v="Open"/>
    <s v="NA"/>
    <s v="Net 30"/>
    <n v="1004"/>
    <x v="0"/>
  </r>
  <r>
    <s v="AP10563"/>
    <s v="ABC Supplies"/>
    <d v="2024-05-26T00:00:00"/>
    <d v="2024-06-25T00:00:00"/>
    <n v="1222.6300000000001"/>
    <s v="CAD"/>
    <s v="Paid"/>
    <d v="2024-06-25T00:00:00"/>
    <s v="Net 30"/>
    <n v="726"/>
    <x v="1"/>
  </r>
  <r>
    <s v="AP10564"/>
    <s v="Fast Travel"/>
    <d v="2023-01-25T00:00:00"/>
    <d v="2023-02-24T00:00:00"/>
    <n v="2660.77"/>
    <s v="USD"/>
    <s v="Partial"/>
    <s v="NA"/>
    <s v="Net 30"/>
    <n v="1213"/>
    <x v="0"/>
  </r>
  <r>
    <s v="AP10565"/>
    <s v="Global Office"/>
    <d v="2023-07-13T00:00:00"/>
    <d v="2023-08-12T00:00:00"/>
    <n v="1359"/>
    <s v="EUR"/>
    <s v="Open"/>
    <s v="NA"/>
    <s v="Net 30"/>
    <n v="1044"/>
    <x v="0"/>
  </r>
  <r>
    <s v="AP10566"/>
    <s v="Global Office"/>
    <d v="2023-09-13T00:00:00"/>
    <d v="2023-10-13T00:00:00"/>
    <n v="1597.59"/>
    <s v="EUR"/>
    <s v="Paid"/>
    <d v="2023-10-13T00:00:00"/>
    <s v="Net 30"/>
    <n v="982"/>
    <x v="1"/>
  </r>
  <r>
    <s v="AP10567"/>
    <s v="BluePrints"/>
    <d v="2023-03-12T00:00:00"/>
    <d v="2023-04-11T00:00:00"/>
    <n v="4456.2"/>
    <s v="CAD"/>
    <s v="Partial"/>
    <s v="NA"/>
    <s v="Net 30"/>
    <n v="1167"/>
    <x v="0"/>
  </r>
  <r>
    <s v="AP10568"/>
    <s v="TechMart"/>
    <d v="2024-10-22T00:00:00"/>
    <d v="2024-11-21T00:00:00"/>
    <n v="583.61"/>
    <s v="GBP"/>
    <s v="Partial"/>
    <s v="NA"/>
    <s v="Net 30"/>
    <n v="577"/>
    <x v="0"/>
  </r>
  <r>
    <s v="AP10569"/>
    <s v="TechMart"/>
    <d v="2024-08-07T00:00:00"/>
    <d v="2024-09-06T00:00:00"/>
    <n v="3912.65"/>
    <s v="USD"/>
    <s v="Partial"/>
    <s v="NA"/>
    <s v="Net 30"/>
    <n v="653"/>
    <x v="0"/>
  </r>
  <r>
    <s v="AP10570"/>
    <s v="Global Office"/>
    <d v="2023-05-24T00:00:00"/>
    <d v="2023-06-23T00:00:00"/>
    <n v="2835.21"/>
    <s v="USD"/>
    <s v="Paid"/>
    <d v="2023-06-23T00:00:00"/>
    <s v="Net 30"/>
    <n v="1094"/>
    <x v="1"/>
  </r>
  <r>
    <s v="AP10571"/>
    <s v="Global Office"/>
    <d v="2024-06-18T00:00:00"/>
    <d v="2024-07-18T00:00:00"/>
    <n v="865.54"/>
    <s v="EUR"/>
    <s v="Partial"/>
    <s v="NA"/>
    <s v="Net 30"/>
    <n v="703"/>
    <x v="0"/>
  </r>
  <r>
    <s v="AP10572"/>
    <s v="Global Office"/>
    <d v="2024-06-12T00:00:00"/>
    <d v="2024-07-12T00:00:00"/>
    <n v="3671.15"/>
    <s v="GBP"/>
    <s v="Partial"/>
    <s v="NA"/>
    <s v="Net 30"/>
    <n v="709"/>
    <x v="0"/>
  </r>
  <r>
    <s v="AP10573"/>
    <s v="ABC Supplies"/>
    <d v="2025-04-28T00:00:00"/>
    <d v="2025-05-28T00:00:00"/>
    <n v="2131.81"/>
    <s v="USD"/>
    <s v="Paid"/>
    <d v="2025-05-28T00:00:00"/>
    <s v="Net 30"/>
    <n v="389"/>
    <x v="1"/>
  </r>
  <r>
    <s v="AP10574"/>
    <s v="Fast Travel"/>
    <d v="2024-11-20T00:00:00"/>
    <d v="2024-12-20T00:00:00"/>
    <n v="4512.54"/>
    <s v="AUD"/>
    <s v="Partial"/>
    <s v="NA"/>
    <s v="Net 30"/>
    <n v="548"/>
    <x v="0"/>
  </r>
  <r>
    <s v="AP10575"/>
    <s v="BluePrints"/>
    <d v="2024-07-18T00:00:00"/>
    <d v="2024-08-17T00:00:00"/>
    <n v="4516.3100000000004"/>
    <s v="USD"/>
    <s v="Open"/>
    <s v="NA"/>
    <s v="Net 30"/>
    <n v="673"/>
    <x v="0"/>
  </r>
  <r>
    <s v="AP10576"/>
    <s v="Fast Travel"/>
    <d v="2024-09-19T00:00:00"/>
    <d v="2024-10-19T00:00:00"/>
    <n v="1978.27"/>
    <s v="USD"/>
    <s v="Paid"/>
    <d v="2024-10-19T00:00:00"/>
    <s v="Net 30"/>
    <n v="610"/>
    <x v="1"/>
  </r>
  <r>
    <s v="AP10577"/>
    <s v="ABC Supplies"/>
    <d v="2024-05-05T00:00:00"/>
    <d v="2024-06-04T00:00:00"/>
    <n v="1703.15"/>
    <s v="GBP"/>
    <s v="Paid"/>
    <d v="2024-06-04T00:00:00"/>
    <s v="Net 30"/>
    <n v="747"/>
    <x v="1"/>
  </r>
  <r>
    <s v="AP10578"/>
    <s v="BluePrints"/>
    <d v="2023-12-27T00:00:00"/>
    <d v="2024-01-26T00:00:00"/>
    <n v="765.18"/>
    <s v="USD"/>
    <s v="Open"/>
    <s v="NA"/>
    <s v="Net 30"/>
    <n v="877"/>
    <x v="0"/>
  </r>
  <r>
    <s v="AP10579"/>
    <s v="Fast Travel"/>
    <d v="2023-03-07T00:00:00"/>
    <d v="2023-04-06T00:00:00"/>
    <n v="4823.6099999999997"/>
    <s v="AUD"/>
    <s v="Open"/>
    <s v="NA"/>
    <s v="Net 30"/>
    <n v="1172"/>
    <x v="0"/>
  </r>
  <r>
    <s v="AP10580"/>
    <s v="TechMart"/>
    <d v="2025-06-05T00:00:00"/>
    <d v="2025-07-05T00:00:00"/>
    <n v="929.8"/>
    <s v="USD"/>
    <s v="Paid"/>
    <d v="2025-07-05T00:00:00"/>
    <s v="Net 30"/>
    <n v="351"/>
    <x v="1"/>
  </r>
  <r>
    <s v="AP10581"/>
    <s v="Global Office"/>
    <d v="2024-02-27T00:00:00"/>
    <d v="2024-03-28T00:00:00"/>
    <n v="4543.1099999999997"/>
    <s v="USD"/>
    <s v="Paid"/>
    <d v="2024-03-28T00:00:00"/>
    <s v="Net 30"/>
    <n v="815"/>
    <x v="1"/>
  </r>
  <r>
    <s v="AP10582"/>
    <s v="BluePrints"/>
    <d v="2024-03-03T00:00:00"/>
    <d v="2024-04-02T00:00:00"/>
    <n v="3165.91"/>
    <s v="AUD"/>
    <s v="Partial"/>
    <s v="NA"/>
    <s v="Net 30"/>
    <n v="810"/>
    <x v="0"/>
  </r>
  <r>
    <s v="AP10583"/>
    <s v="TechMart"/>
    <d v="2025-04-02T00:00:00"/>
    <d v="2025-05-02T00:00:00"/>
    <n v="674.53"/>
    <s v="USD"/>
    <s v="Partial"/>
    <s v="NA"/>
    <s v="Net 30"/>
    <n v="415"/>
    <x v="0"/>
  </r>
  <r>
    <s v="AP10584"/>
    <s v="BluePrints"/>
    <d v="2024-02-20T00:00:00"/>
    <d v="2024-03-21T00:00:00"/>
    <n v="860.37"/>
    <s v="EUR"/>
    <s v="Paid"/>
    <d v="2024-03-21T00:00:00"/>
    <s v="Net 30"/>
    <n v="822"/>
    <x v="1"/>
  </r>
  <r>
    <s v="AP10585"/>
    <s v="BluePrints"/>
    <d v="2023-01-27T00:00:00"/>
    <d v="2023-02-26T00:00:00"/>
    <n v="1506.08"/>
    <s v="EUR"/>
    <s v="Partial"/>
    <s v="NA"/>
    <s v="Net 30"/>
    <n v="1211"/>
    <x v="0"/>
  </r>
  <r>
    <s v="AP10586"/>
    <s v="Global Office"/>
    <d v="2023-08-25T00:00:00"/>
    <d v="2023-09-24T00:00:00"/>
    <n v="1413.73"/>
    <s v="AUD"/>
    <s v="Open"/>
    <s v="NA"/>
    <s v="Net 30"/>
    <n v="1001"/>
    <x v="0"/>
  </r>
  <r>
    <s v="AP10587"/>
    <s v="ABC Supplies"/>
    <d v="2023-10-31T00:00:00"/>
    <d v="2023-11-30T00:00:00"/>
    <n v="3386.32"/>
    <s v="EUR"/>
    <s v="Paid"/>
    <d v="2023-11-30T00:00:00"/>
    <s v="Net 30"/>
    <n v="934"/>
    <x v="1"/>
  </r>
  <r>
    <s v="AP10588"/>
    <s v="BluePrints"/>
    <d v="2024-12-07T00:00:00"/>
    <d v="2025-01-06T00:00:00"/>
    <n v="3632.78"/>
    <s v="USD"/>
    <s v="Paid"/>
    <d v="2025-01-06T00:00:00"/>
    <s v="Net 30"/>
    <n v="531"/>
    <x v="1"/>
  </r>
  <r>
    <s v="AP10589"/>
    <s v="TechMart"/>
    <d v="2024-07-01T00:00:00"/>
    <d v="2024-07-31T00:00:00"/>
    <n v="994.97"/>
    <s v="CAD"/>
    <s v="Paid"/>
    <d v="2024-07-31T00:00:00"/>
    <s v="Net 30"/>
    <n v="690"/>
    <x v="1"/>
  </r>
  <r>
    <s v="AP10590"/>
    <s v="TechMart"/>
    <d v="2023-12-22T00:00:00"/>
    <d v="2024-01-21T00:00:00"/>
    <n v="2164.98"/>
    <s v="AUD"/>
    <s v="Paid"/>
    <d v="2024-01-21T00:00:00"/>
    <s v="Net 30"/>
    <n v="882"/>
    <x v="1"/>
  </r>
  <r>
    <s v="AP10591"/>
    <s v="Global Office"/>
    <d v="2024-08-06T00:00:00"/>
    <d v="2024-09-05T00:00:00"/>
    <n v="3042.89"/>
    <s v="AUD"/>
    <s v="Paid"/>
    <d v="2024-09-05T00:00:00"/>
    <s v="Net 30"/>
    <n v="654"/>
    <x v="1"/>
  </r>
  <r>
    <s v="AP10592"/>
    <s v="BluePrints"/>
    <d v="2023-11-15T00:00:00"/>
    <d v="2023-12-15T00:00:00"/>
    <n v="4101.79"/>
    <s v="AUD"/>
    <s v="Paid"/>
    <d v="2023-12-15T00:00:00"/>
    <s v="Net 30"/>
    <n v="919"/>
    <x v="1"/>
  </r>
  <r>
    <s v="AP10593"/>
    <s v="TechMart"/>
    <d v="2023-09-21T00:00:00"/>
    <d v="2023-10-21T00:00:00"/>
    <n v="3506.57"/>
    <s v="GBP"/>
    <s v="Paid"/>
    <d v="2023-10-21T00:00:00"/>
    <s v="Net 30"/>
    <n v="974"/>
    <x v="1"/>
  </r>
  <r>
    <s v="AP10594"/>
    <s v="TechMart"/>
    <d v="2025-05-20T00:00:00"/>
    <d v="2025-06-19T00:00:00"/>
    <n v="3352.25"/>
    <s v="EUR"/>
    <s v="Partial"/>
    <s v="NA"/>
    <s v="Net 30"/>
    <n v="367"/>
    <x v="0"/>
  </r>
  <r>
    <s v="AP10595"/>
    <s v="TechMart"/>
    <d v="2023-10-21T00:00:00"/>
    <d v="2023-11-20T00:00:00"/>
    <n v="940.15"/>
    <s v="USD"/>
    <s v="Open"/>
    <s v="NA"/>
    <s v="Net 30"/>
    <n v="944"/>
    <x v="0"/>
  </r>
  <r>
    <s v="AP10596"/>
    <s v="BluePrints"/>
    <d v="2023-08-24T00:00:00"/>
    <d v="2023-09-23T00:00:00"/>
    <n v="3505.16"/>
    <s v="USD"/>
    <s v="Open"/>
    <s v="NA"/>
    <s v="Net 30"/>
    <n v="1002"/>
    <x v="0"/>
  </r>
  <r>
    <s v="AP10597"/>
    <s v="Global Office"/>
    <d v="2024-05-08T00:00:00"/>
    <d v="2024-06-07T00:00:00"/>
    <n v="319.55"/>
    <s v="EUR"/>
    <s v="Partial"/>
    <s v="NA"/>
    <s v="Net 30"/>
    <n v="744"/>
    <x v="0"/>
  </r>
  <r>
    <s v="AP10598"/>
    <s v="ABC Supplies"/>
    <d v="2023-10-24T00:00:00"/>
    <d v="2023-11-23T00:00:00"/>
    <n v="1360.57"/>
    <s v="CAD"/>
    <s v="Paid"/>
    <d v="2023-11-23T00:00:00"/>
    <s v="Net 30"/>
    <n v="941"/>
    <x v="1"/>
  </r>
  <r>
    <s v="AP10599"/>
    <s v="ABC Supplies"/>
    <d v="2023-12-17T00:00:00"/>
    <d v="2024-01-16T00:00:00"/>
    <n v="2177.67"/>
    <s v="USD"/>
    <s v="Paid"/>
    <d v="2024-01-16T00:00:00"/>
    <s v="Net 30"/>
    <n v="887"/>
    <x v="1"/>
  </r>
  <r>
    <s v="AP10600"/>
    <s v="Global Office"/>
    <d v="2023-03-19T00:00:00"/>
    <d v="2023-04-18T00:00:00"/>
    <n v="203.9"/>
    <s v="CAD"/>
    <s v="Open"/>
    <s v="NA"/>
    <s v="Net 30"/>
    <n v="1160"/>
    <x v="0"/>
  </r>
  <r>
    <s v="AP10601"/>
    <s v="BluePrints"/>
    <d v="2023-10-28T00:00:00"/>
    <d v="2023-11-27T00:00:00"/>
    <n v="868.73"/>
    <s v="AUD"/>
    <s v="Paid"/>
    <d v="2023-11-27T00:00:00"/>
    <s v="Net 30"/>
    <n v="937"/>
    <x v="1"/>
  </r>
  <r>
    <s v="AP10602"/>
    <s v="TechMart"/>
    <d v="2023-06-05T00:00:00"/>
    <d v="2023-07-05T00:00:00"/>
    <n v="283.51"/>
    <s v="AUD"/>
    <s v="Open"/>
    <s v="NA"/>
    <s v="Net 30"/>
    <n v="1082"/>
    <x v="0"/>
  </r>
  <r>
    <s v="AP10603"/>
    <s v="Fast Travel"/>
    <d v="2024-11-29T00:00:00"/>
    <d v="2024-12-29T00:00:00"/>
    <n v="1373.89"/>
    <s v="USD"/>
    <s v="Partial"/>
    <s v="NA"/>
    <s v="Net 30"/>
    <n v="539"/>
    <x v="0"/>
  </r>
  <r>
    <s v="AP10604"/>
    <s v="BluePrints"/>
    <d v="2025-05-17T00:00:00"/>
    <d v="2025-06-16T00:00:00"/>
    <n v="1032.8399999999999"/>
    <s v="USD"/>
    <s v="Partial"/>
    <s v="NA"/>
    <s v="Net 30"/>
    <n v="370"/>
    <x v="0"/>
  </r>
  <r>
    <s v="AP10605"/>
    <s v="ABC Supplies"/>
    <d v="2024-11-27T00:00:00"/>
    <d v="2024-12-27T00:00:00"/>
    <n v="389.67"/>
    <s v="GBP"/>
    <s v="Partial"/>
    <s v="NA"/>
    <s v="Net 30"/>
    <n v="541"/>
    <x v="0"/>
  </r>
  <r>
    <s v="AP10606"/>
    <s v="BluePrints"/>
    <d v="2023-03-03T00:00:00"/>
    <d v="2023-04-02T00:00:00"/>
    <n v="3748.86"/>
    <s v="EUR"/>
    <s v="Partial"/>
    <s v="NA"/>
    <s v="Net 30"/>
    <n v="1176"/>
    <x v="0"/>
  </r>
  <r>
    <s v="AP10607"/>
    <s v="TechMart"/>
    <d v="2024-12-09T00:00:00"/>
    <d v="2025-01-08T00:00:00"/>
    <n v="4546.88"/>
    <s v="USD"/>
    <s v="Open"/>
    <s v="NA"/>
    <s v="Net 30"/>
    <n v="529"/>
    <x v="0"/>
  </r>
  <r>
    <s v="AP10608"/>
    <s v="Global Office"/>
    <d v="2024-01-08T00:00:00"/>
    <d v="2024-02-07T00:00:00"/>
    <n v="3439.51"/>
    <s v="AUD"/>
    <s v="Partial"/>
    <s v="NA"/>
    <s v="Net 30"/>
    <n v="865"/>
    <x v="0"/>
  </r>
  <r>
    <s v="AP10609"/>
    <s v="TechMart"/>
    <d v="2023-02-19T00:00:00"/>
    <d v="2023-03-21T00:00:00"/>
    <n v="3319.57"/>
    <s v="GBP"/>
    <s v="Open"/>
    <s v="NA"/>
    <s v="Net 30"/>
    <n v="1188"/>
    <x v="0"/>
  </r>
  <r>
    <s v="AP10610"/>
    <s v="Global Office"/>
    <d v="2023-01-03T00:00:00"/>
    <d v="2023-02-02T00:00:00"/>
    <n v="3057.93"/>
    <s v="CAD"/>
    <s v="Paid"/>
    <d v="2023-02-02T00:00:00"/>
    <s v="Net 30"/>
    <n v="1235"/>
    <x v="1"/>
  </r>
  <r>
    <s v="AP10611"/>
    <s v="ABC Supplies"/>
    <d v="2024-07-22T00:00:00"/>
    <d v="2024-08-21T00:00:00"/>
    <n v="1043.05"/>
    <s v="AUD"/>
    <s v="Partial"/>
    <s v="NA"/>
    <s v="Net 30"/>
    <n v="669"/>
    <x v="0"/>
  </r>
  <r>
    <s v="AP10612"/>
    <s v="Global Office"/>
    <d v="2024-04-19T00:00:00"/>
    <d v="2024-05-19T00:00:00"/>
    <n v="1216.7"/>
    <s v="GBP"/>
    <s v="Open"/>
    <s v="NA"/>
    <s v="Net 30"/>
    <n v="763"/>
    <x v="0"/>
  </r>
  <r>
    <s v="AP10613"/>
    <s v="TechMart"/>
    <d v="2023-06-08T00:00:00"/>
    <d v="2023-07-08T00:00:00"/>
    <n v="1242.77"/>
    <s v="AUD"/>
    <s v="Open"/>
    <s v="NA"/>
    <s v="Net 30"/>
    <n v="1079"/>
    <x v="0"/>
  </r>
  <r>
    <s v="AP10614"/>
    <s v="Global Office"/>
    <d v="2023-01-17T00:00:00"/>
    <d v="2023-02-16T00:00:00"/>
    <n v="1253.18"/>
    <s v="EUR"/>
    <s v="Open"/>
    <s v="NA"/>
    <s v="Net 30"/>
    <n v="1221"/>
    <x v="0"/>
  </r>
  <r>
    <s v="AP10615"/>
    <s v="ABC Supplies"/>
    <d v="2023-12-18T00:00:00"/>
    <d v="2024-01-17T00:00:00"/>
    <n v="1423.03"/>
    <s v="GBP"/>
    <s v="Open"/>
    <s v="NA"/>
    <s v="Net 30"/>
    <n v="886"/>
    <x v="0"/>
  </r>
  <r>
    <s v="AP10616"/>
    <s v="Global Office"/>
    <d v="2023-01-14T00:00:00"/>
    <d v="2023-02-13T00:00:00"/>
    <n v="908.37"/>
    <s v="EUR"/>
    <s v="Paid"/>
    <d v="2023-02-13T00:00:00"/>
    <s v="Net 30"/>
    <n v="1224"/>
    <x v="1"/>
  </r>
  <r>
    <s v="AP10617"/>
    <s v="BluePrints"/>
    <d v="2024-11-11T00:00:00"/>
    <d v="2024-12-11T00:00:00"/>
    <n v="4103.24"/>
    <s v="GBP"/>
    <s v="Open"/>
    <s v="NA"/>
    <s v="Net 30"/>
    <n v="557"/>
    <x v="0"/>
  </r>
  <r>
    <s v="AP10618"/>
    <s v="Global Office"/>
    <d v="2024-10-26T00:00:00"/>
    <d v="2024-11-25T00:00:00"/>
    <n v="2557.84"/>
    <s v="GBP"/>
    <s v="Partial"/>
    <s v="NA"/>
    <s v="Net 30"/>
    <n v="573"/>
    <x v="0"/>
  </r>
  <r>
    <s v="AP10619"/>
    <s v="Fast Travel"/>
    <d v="2023-01-01T00:00:00"/>
    <d v="2023-01-31T00:00:00"/>
    <n v="4192.79"/>
    <s v="AUD"/>
    <s v="Partial"/>
    <s v="NA"/>
    <s v="Net 30"/>
    <n v="1237"/>
    <x v="0"/>
  </r>
  <r>
    <s v="AP10620"/>
    <s v="ABC Supplies"/>
    <d v="2024-11-09T00:00:00"/>
    <d v="2024-12-09T00:00:00"/>
    <n v="2144.7199999999998"/>
    <s v="AUD"/>
    <s v="Partial"/>
    <s v="NA"/>
    <s v="Net 30"/>
    <n v="559"/>
    <x v="0"/>
  </r>
  <r>
    <s v="AP10621"/>
    <s v="ABC Supplies"/>
    <d v="2024-11-08T00:00:00"/>
    <d v="2024-12-08T00:00:00"/>
    <n v="669.43"/>
    <s v="USD"/>
    <s v="Open"/>
    <s v="NA"/>
    <s v="Net 30"/>
    <n v="560"/>
    <x v="0"/>
  </r>
  <r>
    <s v="AP10622"/>
    <s v="BluePrints"/>
    <d v="2025-03-01T00:00:00"/>
    <d v="2025-03-31T00:00:00"/>
    <n v="2583.87"/>
    <s v="AUD"/>
    <s v="Paid"/>
    <d v="2025-03-31T00:00:00"/>
    <s v="Net 30"/>
    <n v="447"/>
    <x v="1"/>
  </r>
  <r>
    <s v="AP10623"/>
    <s v="Fast Travel"/>
    <d v="2025-01-26T00:00:00"/>
    <d v="2025-02-25T00:00:00"/>
    <n v="2870.13"/>
    <s v="GBP"/>
    <s v="Open"/>
    <s v="NA"/>
    <s v="Net 30"/>
    <n v="481"/>
    <x v="0"/>
  </r>
  <r>
    <s v="AP10624"/>
    <s v="Global Office"/>
    <d v="2025-04-01T00:00:00"/>
    <d v="2025-05-01T00:00:00"/>
    <n v="308.64"/>
    <s v="CAD"/>
    <s v="Open"/>
    <s v="NA"/>
    <s v="Net 30"/>
    <n v="416"/>
    <x v="0"/>
  </r>
  <r>
    <s v="AP10625"/>
    <s v="Fast Travel"/>
    <d v="2024-09-07T00:00:00"/>
    <d v="2024-10-07T00:00:00"/>
    <n v="754.61"/>
    <s v="USD"/>
    <s v="Paid"/>
    <d v="2024-10-07T00:00:00"/>
    <s v="Net 30"/>
    <n v="622"/>
    <x v="1"/>
  </r>
  <r>
    <s v="AP10626"/>
    <s v="Global Office"/>
    <d v="2025-05-22T00:00:00"/>
    <d v="2025-06-21T00:00:00"/>
    <n v="1564.86"/>
    <s v="EUR"/>
    <s v="Open"/>
    <s v="NA"/>
    <s v="Net 30"/>
    <n v="365"/>
    <x v="0"/>
  </r>
  <r>
    <s v="AP10627"/>
    <s v="Fast Travel"/>
    <d v="2023-01-15T00:00:00"/>
    <d v="2023-02-14T00:00:00"/>
    <n v="2205.11"/>
    <s v="GBP"/>
    <s v="Partial"/>
    <s v="NA"/>
    <s v="Net 30"/>
    <n v="1223"/>
    <x v="0"/>
  </r>
  <r>
    <s v="AP10628"/>
    <s v="Global Office"/>
    <d v="2024-05-09T00:00:00"/>
    <d v="2024-06-08T00:00:00"/>
    <n v="562.79999999999995"/>
    <s v="GBP"/>
    <s v="Partial"/>
    <s v="NA"/>
    <s v="Net 30"/>
    <n v="743"/>
    <x v="0"/>
  </r>
  <r>
    <s v="AP10629"/>
    <s v="BluePrints"/>
    <d v="2023-03-02T00:00:00"/>
    <d v="2023-04-01T00:00:00"/>
    <n v="3911.54"/>
    <s v="USD"/>
    <s v="Partial"/>
    <s v="NA"/>
    <s v="Net 30"/>
    <n v="1177"/>
    <x v="0"/>
  </r>
  <r>
    <s v="AP10630"/>
    <s v="TechMart"/>
    <d v="2025-06-28T00:00:00"/>
    <d v="2025-07-28T00:00:00"/>
    <n v="3891.61"/>
    <s v="CAD"/>
    <s v="Partial"/>
    <s v="NA"/>
    <s v="Net 30"/>
    <n v="328"/>
    <x v="0"/>
  </r>
  <r>
    <s v="AP10631"/>
    <s v="ABC Supplies"/>
    <d v="2023-02-15T00:00:00"/>
    <d v="2023-03-17T00:00:00"/>
    <n v="2302.46"/>
    <s v="GBP"/>
    <s v="Open"/>
    <s v="NA"/>
    <s v="Net 30"/>
    <n v="1192"/>
    <x v="0"/>
  </r>
  <r>
    <s v="AP10632"/>
    <s v="Global Office"/>
    <d v="2024-04-06T00:00:00"/>
    <d v="2024-05-06T00:00:00"/>
    <n v="3723.61"/>
    <s v="USD"/>
    <s v="Open"/>
    <s v="NA"/>
    <s v="Net 30"/>
    <n v="776"/>
    <x v="0"/>
  </r>
  <r>
    <s v="AP10633"/>
    <s v="BluePrints"/>
    <d v="2024-02-26T00:00:00"/>
    <d v="2024-03-27T00:00:00"/>
    <n v="2892.87"/>
    <s v="EUR"/>
    <s v="Open"/>
    <s v="NA"/>
    <s v="Net 30"/>
    <n v="816"/>
    <x v="0"/>
  </r>
  <r>
    <s v="AP10634"/>
    <s v="ABC Supplies"/>
    <d v="2024-12-24T00:00:00"/>
    <d v="2025-01-23T00:00:00"/>
    <n v="2261.7399999999998"/>
    <s v="GBP"/>
    <s v="Open"/>
    <s v="NA"/>
    <s v="Net 30"/>
    <n v="514"/>
    <x v="0"/>
  </r>
  <r>
    <s v="AP10635"/>
    <s v="Global Office"/>
    <d v="2024-03-10T00:00:00"/>
    <d v="2024-04-09T00:00:00"/>
    <n v="3900.62"/>
    <s v="AUD"/>
    <s v="Partial"/>
    <s v="NA"/>
    <s v="Net 30"/>
    <n v="803"/>
    <x v="0"/>
  </r>
  <r>
    <s v="AP10636"/>
    <s v="Global Office"/>
    <d v="2024-05-07T00:00:00"/>
    <d v="2024-06-06T00:00:00"/>
    <n v="4377.2"/>
    <s v="GBP"/>
    <s v="Open"/>
    <s v="NA"/>
    <s v="Net 30"/>
    <n v="745"/>
    <x v="0"/>
  </r>
  <r>
    <s v="AP10637"/>
    <s v="TechMart"/>
    <d v="2025-01-13T00:00:00"/>
    <d v="2025-02-12T00:00:00"/>
    <n v="4656.51"/>
    <s v="AUD"/>
    <s v="Paid"/>
    <d v="2025-02-12T00:00:00"/>
    <s v="Net 30"/>
    <n v="494"/>
    <x v="1"/>
  </r>
  <r>
    <s v="AP10638"/>
    <s v="ABC Supplies"/>
    <d v="2025-02-16T00:00:00"/>
    <d v="2025-03-18T00:00:00"/>
    <n v="4576.1099999999997"/>
    <s v="USD"/>
    <s v="Open"/>
    <s v="NA"/>
    <s v="Net 30"/>
    <n v="460"/>
    <x v="0"/>
  </r>
  <r>
    <s v="AP10639"/>
    <s v="Global Office"/>
    <d v="2025-05-04T00:00:00"/>
    <d v="2025-06-03T00:00:00"/>
    <n v="1039.52"/>
    <s v="EUR"/>
    <s v="Partial"/>
    <s v="NA"/>
    <s v="Net 30"/>
    <n v="383"/>
    <x v="0"/>
  </r>
  <r>
    <s v="AP10640"/>
    <s v="TechMart"/>
    <d v="2023-09-02T00:00:00"/>
    <d v="2023-10-02T00:00:00"/>
    <n v="179.18"/>
    <s v="GBP"/>
    <s v="Paid"/>
    <d v="2023-10-02T00:00:00"/>
    <s v="Net 30"/>
    <n v="993"/>
    <x v="1"/>
  </r>
  <r>
    <s v="AP10641"/>
    <s v="ABC Supplies"/>
    <d v="2023-11-05T00:00:00"/>
    <d v="2023-12-05T00:00:00"/>
    <n v="2198.02"/>
    <s v="AUD"/>
    <s v="Paid"/>
    <d v="2023-12-05T00:00:00"/>
    <s v="Net 30"/>
    <n v="929"/>
    <x v="1"/>
  </r>
  <r>
    <s v="AP10642"/>
    <s v="Fast Travel"/>
    <d v="2024-03-11T00:00:00"/>
    <d v="2024-04-10T00:00:00"/>
    <n v="3150.23"/>
    <s v="AUD"/>
    <s v="Partial"/>
    <s v="NA"/>
    <s v="Net 30"/>
    <n v="802"/>
    <x v="0"/>
  </r>
  <r>
    <s v="AP10643"/>
    <s v="Fast Travel"/>
    <d v="2023-11-06T00:00:00"/>
    <d v="2023-12-06T00:00:00"/>
    <n v="4973.37"/>
    <s v="AUD"/>
    <s v="Partial"/>
    <s v="NA"/>
    <s v="Net 30"/>
    <n v="928"/>
    <x v="0"/>
  </r>
  <r>
    <s v="AP10644"/>
    <s v="ABC Supplies"/>
    <d v="2025-04-10T00:00:00"/>
    <d v="2025-05-10T00:00:00"/>
    <n v="4507.3999999999996"/>
    <s v="CAD"/>
    <s v="Paid"/>
    <d v="2025-05-10T00:00:00"/>
    <s v="Net 30"/>
    <n v="407"/>
    <x v="1"/>
  </r>
  <r>
    <s v="AP10645"/>
    <s v="BluePrints"/>
    <d v="2023-07-18T00:00:00"/>
    <d v="2023-08-17T00:00:00"/>
    <n v="2432.37"/>
    <s v="GBP"/>
    <s v="Partial"/>
    <s v="NA"/>
    <s v="Net 30"/>
    <n v="1039"/>
    <x v="0"/>
  </r>
  <r>
    <s v="AP10646"/>
    <s v="Global Office"/>
    <d v="2023-09-02T00:00:00"/>
    <d v="2023-10-02T00:00:00"/>
    <n v="3421.02"/>
    <s v="AUD"/>
    <s v="Open"/>
    <s v="NA"/>
    <s v="Net 30"/>
    <n v="993"/>
    <x v="0"/>
  </r>
  <r>
    <s v="AP10647"/>
    <s v="Global Office"/>
    <d v="2023-08-08T00:00:00"/>
    <d v="2023-09-07T00:00:00"/>
    <n v="223.05"/>
    <s v="GBP"/>
    <s v="Paid"/>
    <d v="2023-09-07T00:00:00"/>
    <s v="Net 30"/>
    <n v="1018"/>
    <x v="1"/>
  </r>
  <r>
    <s v="AP10648"/>
    <s v="BluePrints"/>
    <d v="2024-06-12T00:00:00"/>
    <d v="2024-07-12T00:00:00"/>
    <n v="599.71"/>
    <s v="USD"/>
    <s v="Open"/>
    <s v="NA"/>
    <s v="Net 30"/>
    <n v="709"/>
    <x v="0"/>
  </r>
  <r>
    <s v="AP10649"/>
    <s v="BluePrints"/>
    <d v="2023-04-13T00:00:00"/>
    <d v="2023-05-13T00:00:00"/>
    <n v="4739.08"/>
    <s v="EUR"/>
    <s v="Partial"/>
    <s v="NA"/>
    <s v="Net 30"/>
    <n v="1135"/>
    <x v="0"/>
  </r>
  <r>
    <s v="AP10650"/>
    <s v="ABC Supplies"/>
    <d v="2024-11-13T00:00:00"/>
    <d v="2024-12-13T00:00:00"/>
    <n v="332.35"/>
    <s v="AUD"/>
    <s v="Partial"/>
    <s v="NA"/>
    <s v="Net 30"/>
    <n v="555"/>
    <x v="0"/>
  </r>
  <r>
    <s v="AP10651"/>
    <s v="BluePrints"/>
    <d v="2024-07-02T00:00:00"/>
    <d v="2024-08-01T00:00:00"/>
    <n v="4746.3999999999996"/>
    <s v="USD"/>
    <s v="Paid"/>
    <d v="2024-08-01T00:00:00"/>
    <s v="Net 30"/>
    <n v="689"/>
    <x v="1"/>
  </r>
  <r>
    <s v="AP10652"/>
    <s v="ABC Supplies"/>
    <d v="2023-07-06T00:00:00"/>
    <d v="2023-08-05T00:00:00"/>
    <n v="4124.6000000000004"/>
    <s v="GBP"/>
    <s v="Open"/>
    <s v="NA"/>
    <s v="Net 30"/>
    <n v="1051"/>
    <x v="0"/>
  </r>
  <r>
    <s v="AP10653"/>
    <s v="TechMart"/>
    <d v="2023-06-06T00:00:00"/>
    <d v="2023-07-06T00:00:00"/>
    <n v="1630.69"/>
    <s v="GBP"/>
    <s v="Paid"/>
    <d v="2023-07-06T00:00:00"/>
    <s v="Net 30"/>
    <n v="1081"/>
    <x v="1"/>
  </r>
  <r>
    <s v="AP10654"/>
    <s v="Global Office"/>
    <d v="2024-09-14T00:00:00"/>
    <d v="2024-10-14T00:00:00"/>
    <n v="4643.99"/>
    <s v="GBP"/>
    <s v="Partial"/>
    <s v="NA"/>
    <s v="Net 30"/>
    <n v="615"/>
    <x v="0"/>
  </r>
  <r>
    <s v="AP10655"/>
    <s v="Fast Travel"/>
    <d v="2023-09-29T00:00:00"/>
    <d v="2023-10-29T00:00:00"/>
    <n v="121.66"/>
    <s v="CAD"/>
    <s v="Open"/>
    <s v="NA"/>
    <s v="Net 30"/>
    <n v="966"/>
    <x v="0"/>
  </r>
  <r>
    <s v="AP10656"/>
    <s v="ABC Supplies"/>
    <d v="2023-07-04T00:00:00"/>
    <d v="2023-08-03T00:00:00"/>
    <n v="2464.2399999999998"/>
    <s v="USD"/>
    <s v="Partial"/>
    <s v="NA"/>
    <s v="Net 30"/>
    <n v="1053"/>
    <x v="0"/>
  </r>
  <r>
    <s v="AP10657"/>
    <s v="TechMart"/>
    <d v="2023-12-11T00:00:00"/>
    <d v="2024-01-10T00:00:00"/>
    <n v="4354.51"/>
    <s v="GBP"/>
    <s v="Partial"/>
    <s v="NA"/>
    <s v="Net 30"/>
    <n v="893"/>
    <x v="0"/>
  </r>
  <r>
    <s v="AP10658"/>
    <s v="TechMart"/>
    <d v="2023-12-13T00:00:00"/>
    <d v="2024-01-12T00:00:00"/>
    <n v="1809.68"/>
    <s v="USD"/>
    <s v="Partial"/>
    <s v="NA"/>
    <s v="Net 30"/>
    <n v="891"/>
    <x v="0"/>
  </r>
  <r>
    <s v="AP10659"/>
    <s v="TechMart"/>
    <d v="2024-10-23T00:00:00"/>
    <d v="2024-11-22T00:00:00"/>
    <n v="4448.67"/>
    <s v="USD"/>
    <s v="Open"/>
    <s v="NA"/>
    <s v="Net 30"/>
    <n v="576"/>
    <x v="0"/>
  </r>
  <r>
    <s v="AP10660"/>
    <s v="Fast Travel"/>
    <d v="2025-06-02T00:00:00"/>
    <d v="2025-07-02T00:00:00"/>
    <n v="3810.59"/>
    <s v="CAD"/>
    <s v="Paid"/>
    <d v="2025-07-02T00:00:00"/>
    <s v="Net 30"/>
    <n v="354"/>
    <x v="1"/>
  </r>
  <r>
    <s v="AP10661"/>
    <s v="TechMart"/>
    <d v="2024-05-21T00:00:00"/>
    <d v="2024-06-20T00:00:00"/>
    <n v="4234.42"/>
    <s v="AUD"/>
    <s v="Open"/>
    <s v="NA"/>
    <s v="Net 30"/>
    <n v="731"/>
    <x v="0"/>
  </r>
  <r>
    <s v="AP10662"/>
    <s v="BluePrints"/>
    <d v="2024-01-30T00:00:00"/>
    <d v="2024-02-29T00:00:00"/>
    <n v="2754.86"/>
    <s v="GBP"/>
    <s v="Partial"/>
    <s v="NA"/>
    <s v="Net 30"/>
    <n v="843"/>
    <x v="0"/>
  </r>
  <r>
    <s v="AP10663"/>
    <s v="TechMart"/>
    <d v="2025-02-23T00:00:00"/>
    <d v="2025-03-25T00:00:00"/>
    <n v="3198.07"/>
    <s v="GBP"/>
    <s v="Partial"/>
    <s v="NA"/>
    <s v="Net 30"/>
    <n v="453"/>
    <x v="0"/>
  </r>
  <r>
    <s v="AP10664"/>
    <s v="BluePrints"/>
    <d v="2023-10-02T00:00:00"/>
    <d v="2023-11-01T00:00:00"/>
    <n v="3984.98"/>
    <s v="EUR"/>
    <s v="Partial"/>
    <s v="NA"/>
    <s v="Net 30"/>
    <n v="963"/>
    <x v="0"/>
  </r>
  <r>
    <s v="AP10665"/>
    <s v="Global Office"/>
    <d v="2023-06-19T00:00:00"/>
    <d v="2023-07-19T00:00:00"/>
    <n v="4810.12"/>
    <s v="USD"/>
    <s v="Open"/>
    <s v="NA"/>
    <s v="Net 30"/>
    <n v="1068"/>
    <x v="0"/>
  </r>
  <r>
    <s v="AP10666"/>
    <s v="ABC Supplies"/>
    <d v="2024-01-20T00:00:00"/>
    <d v="2024-02-19T00:00:00"/>
    <n v="4712.91"/>
    <s v="EUR"/>
    <s v="Open"/>
    <s v="NA"/>
    <s v="Net 30"/>
    <n v="853"/>
    <x v="0"/>
  </r>
  <r>
    <s v="AP10667"/>
    <s v="BluePrints"/>
    <d v="2025-02-04T00:00:00"/>
    <d v="2025-03-06T00:00:00"/>
    <n v="4624.82"/>
    <s v="AUD"/>
    <s v="Paid"/>
    <d v="2025-03-06T00:00:00"/>
    <s v="Net 30"/>
    <n v="472"/>
    <x v="1"/>
  </r>
  <r>
    <s v="AP10668"/>
    <s v="TechMart"/>
    <d v="2024-08-18T00:00:00"/>
    <d v="2024-09-17T00:00:00"/>
    <n v="3779.89"/>
    <s v="CAD"/>
    <s v="Open"/>
    <s v="NA"/>
    <s v="Net 30"/>
    <n v="642"/>
    <x v="0"/>
  </r>
  <r>
    <s v="AP10669"/>
    <s v="Global Office"/>
    <d v="2023-07-11T00:00:00"/>
    <d v="2023-08-10T00:00:00"/>
    <n v="528.42999999999995"/>
    <s v="GBP"/>
    <s v="Partial"/>
    <s v="NA"/>
    <s v="Net 30"/>
    <n v="1046"/>
    <x v="0"/>
  </r>
  <r>
    <s v="AP10670"/>
    <s v="ABC Supplies"/>
    <d v="2024-01-14T00:00:00"/>
    <d v="2024-02-13T00:00:00"/>
    <n v="3542.71"/>
    <s v="AUD"/>
    <s v="Paid"/>
    <d v="2024-02-13T00:00:00"/>
    <s v="Net 30"/>
    <n v="859"/>
    <x v="1"/>
  </r>
  <r>
    <s v="AP10671"/>
    <s v="ABC Supplies"/>
    <d v="2025-06-16T00:00:00"/>
    <d v="2025-07-16T00:00:00"/>
    <n v="1625.04"/>
    <s v="GBP"/>
    <s v="Paid"/>
    <d v="2025-07-16T00:00:00"/>
    <s v="Net 30"/>
    <n v="340"/>
    <x v="1"/>
  </r>
  <r>
    <s v="AP10672"/>
    <s v="Fast Travel"/>
    <d v="2023-10-14T00:00:00"/>
    <d v="2023-11-13T00:00:00"/>
    <n v="3513.91"/>
    <s v="AUD"/>
    <s v="Partial"/>
    <s v="NA"/>
    <s v="Net 30"/>
    <n v="951"/>
    <x v="0"/>
  </r>
  <r>
    <s v="AP10673"/>
    <s v="TechMart"/>
    <d v="2023-06-02T00:00:00"/>
    <d v="2023-07-02T00:00:00"/>
    <n v="1005.78"/>
    <s v="GBP"/>
    <s v="Paid"/>
    <d v="2023-07-02T00:00:00"/>
    <s v="Net 30"/>
    <n v="1085"/>
    <x v="1"/>
  </r>
  <r>
    <s v="AP10674"/>
    <s v="TechMart"/>
    <d v="2025-06-13T00:00:00"/>
    <d v="2025-07-13T00:00:00"/>
    <n v="4800.13"/>
    <s v="AUD"/>
    <s v="Partial"/>
    <s v="NA"/>
    <s v="Net 30"/>
    <n v="343"/>
    <x v="0"/>
  </r>
  <r>
    <s v="AP10675"/>
    <s v="ABC Supplies"/>
    <d v="2025-04-13T00:00:00"/>
    <d v="2025-05-13T00:00:00"/>
    <n v="2790.67"/>
    <s v="AUD"/>
    <s v="Partial"/>
    <s v="NA"/>
    <s v="Net 30"/>
    <n v="404"/>
    <x v="0"/>
  </r>
  <r>
    <s v="AP10676"/>
    <s v="TechMart"/>
    <d v="2023-03-03T00:00:00"/>
    <d v="2023-04-02T00:00:00"/>
    <n v="3677.45"/>
    <s v="GBP"/>
    <s v="Open"/>
    <s v="NA"/>
    <s v="Net 30"/>
    <n v="1176"/>
    <x v="0"/>
  </r>
  <r>
    <s v="AP10677"/>
    <s v="Fast Travel"/>
    <d v="2023-01-29T00:00:00"/>
    <d v="2023-02-28T00:00:00"/>
    <n v="2795.97"/>
    <s v="AUD"/>
    <s v="Partial"/>
    <s v="NA"/>
    <s v="Net 30"/>
    <n v="1209"/>
    <x v="0"/>
  </r>
  <r>
    <s v="AP10678"/>
    <s v="Fast Travel"/>
    <d v="2023-08-14T00:00:00"/>
    <d v="2023-09-13T00:00:00"/>
    <n v="3609.91"/>
    <s v="EUR"/>
    <s v="Open"/>
    <s v="NA"/>
    <s v="Net 30"/>
    <n v="1012"/>
    <x v="0"/>
  </r>
  <r>
    <s v="AP10679"/>
    <s v="ABC Supplies"/>
    <d v="2024-06-24T00:00:00"/>
    <d v="2024-07-24T00:00:00"/>
    <n v="415.41"/>
    <s v="CAD"/>
    <s v="Open"/>
    <s v="NA"/>
    <s v="Net 30"/>
    <n v="697"/>
    <x v="0"/>
  </r>
  <r>
    <s v="AP10680"/>
    <s v="BluePrints"/>
    <d v="2024-05-29T00:00:00"/>
    <d v="2024-06-28T00:00:00"/>
    <n v="3262.02"/>
    <s v="EUR"/>
    <s v="Partial"/>
    <s v="NA"/>
    <s v="Net 30"/>
    <n v="723"/>
    <x v="0"/>
  </r>
  <r>
    <s v="AP10681"/>
    <s v="Fast Travel"/>
    <d v="2024-08-10T00:00:00"/>
    <d v="2024-09-09T00:00:00"/>
    <n v="386.52"/>
    <s v="EUR"/>
    <s v="Open"/>
    <s v="NA"/>
    <s v="Net 30"/>
    <n v="650"/>
    <x v="0"/>
  </r>
  <r>
    <s v="AP10682"/>
    <s v="TechMart"/>
    <d v="2023-08-12T00:00:00"/>
    <d v="2023-09-11T00:00:00"/>
    <n v="3339.93"/>
    <s v="GBP"/>
    <s v="Partial"/>
    <s v="NA"/>
    <s v="Net 30"/>
    <n v="1014"/>
    <x v="0"/>
  </r>
  <r>
    <s v="AP10683"/>
    <s v="ABC Supplies"/>
    <d v="2023-05-19T00:00:00"/>
    <d v="2023-06-18T00:00:00"/>
    <n v="4195.2"/>
    <s v="EUR"/>
    <s v="Partial"/>
    <s v="NA"/>
    <s v="Net 30"/>
    <n v="1099"/>
    <x v="0"/>
  </r>
  <r>
    <s v="AP10684"/>
    <s v="ABC Supplies"/>
    <d v="2023-05-19T00:00:00"/>
    <d v="2023-06-18T00:00:00"/>
    <n v="2911.89"/>
    <s v="EUR"/>
    <s v="Open"/>
    <s v="NA"/>
    <s v="Net 30"/>
    <n v="1099"/>
    <x v="0"/>
  </r>
  <r>
    <s v="AP10685"/>
    <s v="TechMart"/>
    <d v="2025-03-30T00:00:00"/>
    <d v="2025-04-29T00:00:00"/>
    <n v="1595.21"/>
    <s v="CAD"/>
    <s v="Open"/>
    <s v="NA"/>
    <s v="Net 30"/>
    <n v="418"/>
    <x v="0"/>
  </r>
  <r>
    <s v="AP10686"/>
    <s v="ABC Supplies"/>
    <d v="2023-04-07T00:00:00"/>
    <d v="2023-05-07T00:00:00"/>
    <n v="2246.04"/>
    <s v="EUR"/>
    <s v="Open"/>
    <s v="NA"/>
    <s v="Net 30"/>
    <n v="1141"/>
    <x v="0"/>
  </r>
  <r>
    <s v="AP10687"/>
    <s v="TechMart"/>
    <d v="2024-01-01T00:00:00"/>
    <d v="2024-01-31T00:00:00"/>
    <n v="560.41999999999996"/>
    <s v="EUR"/>
    <s v="Paid"/>
    <d v="2024-01-31T00:00:00"/>
    <s v="Net 30"/>
    <n v="872"/>
    <x v="1"/>
  </r>
  <r>
    <s v="AP10688"/>
    <s v="Global Office"/>
    <d v="2023-11-29T00:00:00"/>
    <d v="2023-12-29T00:00:00"/>
    <n v="1796.7"/>
    <s v="EUR"/>
    <s v="Open"/>
    <s v="NA"/>
    <s v="Net 30"/>
    <n v="905"/>
    <x v="0"/>
  </r>
  <r>
    <s v="AP10689"/>
    <s v="Fast Travel"/>
    <d v="2024-06-01T00:00:00"/>
    <d v="2024-07-01T00:00:00"/>
    <n v="1049.54"/>
    <s v="EUR"/>
    <s v="Partial"/>
    <s v="NA"/>
    <s v="Net 30"/>
    <n v="720"/>
    <x v="0"/>
  </r>
  <r>
    <s v="AP10690"/>
    <s v="ABC Supplies"/>
    <d v="2023-09-09T00:00:00"/>
    <d v="2023-10-09T00:00:00"/>
    <n v="2858.31"/>
    <s v="EUR"/>
    <s v="Open"/>
    <s v="NA"/>
    <s v="Net 30"/>
    <n v="986"/>
    <x v="0"/>
  </r>
  <r>
    <s v="AP10691"/>
    <s v="ABC Supplies"/>
    <d v="2023-12-19T00:00:00"/>
    <d v="2024-01-18T00:00:00"/>
    <n v="2144.37"/>
    <s v="CAD"/>
    <s v="Open"/>
    <s v="NA"/>
    <s v="Net 30"/>
    <n v="885"/>
    <x v="0"/>
  </r>
  <r>
    <s v="AP10692"/>
    <s v="Global Office"/>
    <d v="2025-06-07T00:00:00"/>
    <d v="2025-07-07T00:00:00"/>
    <n v="1051.29"/>
    <s v="EUR"/>
    <s v="Paid"/>
    <d v="2025-07-07T00:00:00"/>
    <s v="Net 30"/>
    <n v="349"/>
    <x v="1"/>
  </r>
  <r>
    <s v="AP10693"/>
    <s v="Global Office"/>
    <d v="2023-03-21T00:00:00"/>
    <d v="2023-04-20T00:00:00"/>
    <n v="212.66"/>
    <s v="USD"/>
    <s v="Partial"/>
    <s v="NA"/>
    <s v="Net 30"/>
    <n v="1158"/>
    <x v="0"/>
  </r>
  <r>
    <s v="AP10694"/>
    <s v="Fast Travel"/>
    <d v="2023-12-11T00:00:00"/>
    <d v="2024-01-10T00:00:00"/>
    <n v="2649.88"/>
    <s v="EUR"/>
    <s v="Paid"/>
    <d v="2024-01-10T00:00:00"/>
    <s v="Net 30"/>
    <n v="893"/>
    <x v="1"/>
  </r>
  <r>
    <s v="AP10695"/>
    <s v="BluePrints"/>
    <d v="2023-05-28T00:00:00"/>
    <d v="2023-06-27T00:00:00"/>
    <n v="2025.22"/>
    <s v="GBP"/>
    <s v="Open"/>
    <s v="NA"/>
    <s v="Net 30"/>
    <n v="1090"/>
    <x v="0"/>
  </r>
  <r>
    <s v="AP10696"/>
    <s v="Fast Travel"/>
    <d v="2025-05-02T00:00:00"/>
    <d v="2025-06-01T00:00:00"/>
    <n v="2110.4899999999998"/>
    <s v="GBP"/>
    <s v="Paid"/>
    <d v="2025-06-01T00:00:00"/>
    <s v="Net 30"/>
    <n v="385"/>
    <x v="1"/>
  </r>
  <r>
    <s v="AP10697"/>
    <s v="Fast Travel"/>
    <d v="2024-11-28T00:00:00"/>
    <d v="2024-12-28T00:00:00"/>
    <n v="4740.3"/>
    <s v="CAD"/>
    <s v="Paid"/>
    <d v="2024-12-28T00:00:00"/>
    <s v="Net 30"/>
    <n v="540"/>
    <x v="1"/>
  </r>
  <r>
    <s v="AP10698"/>
    <s v="TechMart"/>
    <d v="2024-10-06T00:00:00"/>
    <d v="2024-11-05T00:00:00"/>
    <n v="2511.0500000000002"/>
    <s v="CAD"/>
    <s v="Partial"/>
    <s v="NA"/>
    <s v="Net 30"/>
    <n v="593"/>
    <x v="0"/>
  </r>
  <r>
    <s v="AP10699"/>
    <s v="Fast Travel"/>
    <d v="2024-06-16T00:00:00"/>
    <d v="2024-07-16T00:00:00"/>
    <n v="1198.06"/>
    <s v="USD"/>
    <s v="Open"/>
    <s v="NA"/>
    <s v="Net 30"/>
    <n v="705"/>
    <x v="0"/>
  </r>
  <r>
    <s v="AP10700"/>
    <s v="ABC Supplies"/>
    <d v="2024-12-01T00:00:00"/>
    <d v="2024-12-31T00:00:00"/>
    <n v="4648.54"/>
    <s v="USD"/>
    <s v="Partial"/>
    <s v="NA"/>
    <s v="Net 30"/>
    <n v="537"/>
    <x v="0"/>
  </r>
  <r>
    <s v="AP10701"/>
    <s v="Global Office"/>
    <d v="2024-04-09T00:00:00"/>
    <d v="2024-05-09T00:00:00"/>
    <n v="1123.9000000000001"/>
    <s v="USD"/>
    <s v="Open"/>
    <s v="NA"/>
    <s v="Net 30"/>
    <n v="773"/>
    <x v="0"/>
  </r>
  <r>
    <s v="AP10702"/>
    <s v="BluePrints"/>
    <d v="2023-12-11T00:00:00"/>
    <d v="2024-01-10T00:00:00"/>
    <n v="137.11000000000001"/>
    <s v="USD"/>
    <s v="Partial"/>
    <s v="NA"/>
    <s v="Net 30"/>
    <n v="893"/>
    <x v="0"/>
  </r>
  <r>
    <s v="AP10703"/>
    <s v="BluePrints"/>
    <d v="2024-06-02T00:00:00"/>
    <d v="2024-07-02T00:00:00"/>
    <n v="1824.99"/>
    <s v="EUR"/>
    <s v="Paid"/>
    <d v="2024-07-02T00:00:00"/>
    <s v="Net 30"/>
    <n v="719"/>
    <x v="1"/>
  </r>
  <r>
    <s v="AP10704"/>
    <s v="Global Office"/>
    <d v="2023-06-02T00:00:00"/>
    <d v="2023-07-02T00:00:00"/>
    <n v="3916.78"/>
    <s v="GBP"/>
    <s v="Partial"/>
    <s v="NA"/>
    <s v="Net 30"/>
    <n v="1085"/>
    <x v="0"/>
  </r>
  <r>
    <s v="AP10705"/>
    <s v="ABC Supplies"/>
    <d v="2023-06-14T00:00:00"/>
    <d v="2023-07-14T00:00:00"/>
    <n v="4748.8999999999996"/>
    <s v="AUD"/>
    <s v="Partial"/>
    <s v="NA"/>
    <s v="Net 30"/>
    <n v="1073"/>
    <x v="0"/>
  </r>
  <r>
    <s v="AP10706"/>
    <s v="TechMart"/>
    <d v="2025-04-23T00:00:00"/>
    <d v="2025-05-23T00:00:00"/>
    <n v="2620.19"/>
    <s v="EUR"/>
    <s v="Open"/>
    <s v="NA"/>
    <s v="Net 30"/>
    <n v="394"/>
    <x v="0"/>
  </r>
  <r>
    <s v="AP10707"/>
    <s v="Fast Travel"/>
    <d v="2023-03-05T00:00:00"/>
    <d v="2023-04-04T00:00:00"/>
    <n v="3038.06"/>
    <s v="AUD"/>
    <s v="Open"/>
    <s v="NA"/>
    <s v="Net 30"/>
    <n v="1174"/>
    <x v="0"/>
  </r>
  <r>
    <s v="AP10708"/>
    <s v="Fast Travel"/>
    <d v="2023-12-15T00:00:00"/>
    <d v="2024-01-14T00:00:00"/>
    <n v="1309.8800000000001"/>
    <s v="EUR"/>
    <s v="Paid"/>
    <d v="2024-01-14T00:00:00"/>
    <s v="Net 30"/>
    <n v="889"/>
    <x v="1"/>
  </r>
  <r>
    <s v="AP10709"/>
    <s v="ABC Supplies"/>
    <d v="2023-04-12T00:00:00"/>
    <d v="2023-05-12T00:00:00"/>
    <n v="3542.51"/>
    <s v="GBP"/>
    <s v="Paid"/>
    <d v="2023-05-12T00:00:00"/>
    <s v="Net 30"/>
    <n v="1136"/>
    <x v="1"/>
  </r>
  <r>
    <s v="AP10710"/>
    <s v="BluePrints"/>
    <d v="2023-03-01T00:00:00"/>
    <d v="2023-03-31T00:00:00"/>
    <n v="1785.99"/>
    <s v="AUD"/>
    <s v="Partial"/>
    <s v="NA"/>
    <s v="Net 30"/>
    <n v="1178"/>
    <x v="0"/>
  </r>
  <r>
    <s v="AP10711"/>
    <s v="Fast Travel"/>
    <d v="2023-08-20T00:00:00"/>
    <d v="2023-09-19T00:00:00"/>
    <n v="2979.86"/>
    <s v="CAD"/>
    <s v="Paid"/>
    <d v="2023-09-19T00:00:00"/>
    <s v="Net 30"/>
    <n v="1006"/>
    <x v="1"/>
  </r>
  <r>
    <s v="AP10712"/>
    <s v="Global Office"/>
    <d v="2023-08-16T00:00:00"/>
    <d v="2023-09-15T00:00:00"/>
    <n v="3891.24"/>
    <s v="GBP"/>
    <s v="Partial"/>
    <s v="NA"/>
    <s v="Net 30"/>
    <n v="1010"/>
    <x v="0"/>
  </r>
  <r>
    <s v="AP10713"/>
    <s v="Fast Travel"/>
    <d v="2025-02-10T00:00:00"/>
    <d v="2025-03-12T00:00:00"/>
    <n v="4674.42"/>
    <s v="USD"/>
    <s v="Paid"/>
    <d v="2025-03-12T00:00:00"/>
    <s v="Net 30"/>
    <n v="466"/>
    <x v="1"/>
  </r>
  <r>
    <s v="AP10714"/>
    <s v="BluePrints"/>
    <d v="2024-06-21T00:00:00"/>
    <d v="2024-07-21T00:00:00"/>
    <n v="2370.71"/>
    <s v="GBP"/>
    <s v="Partial"/>
    <s v="NA"/>
    <s v="Net 30"/>
    <n v="700"/>
    <x v="0"/>
  </r>
  <r>
    <s v="AP10715"/>
    <s v="BluePrints"/>
    <d v="2023-08-30T00:00:00"/>
    <d v="2023-09-29T00:00:00"/>
    <n v="2872.68"/>
    <s v="AUD"/>
    <s v="Partial"/>
    <s v="NA"/>
    <s v="Net 30"/>
    <n v="996"/>
    <x v="0"/>
  </r>
  <r>
    <s v="AP10716"/>
    <s v="TechMart"/>
    <d v="2023-11-16T00:00:00"/>
    <d v="2023-12-16T00:00:00"/>
    <n v="1865.16"/>
    <s v="CAD"/>
    <s v="Partial"/>
    <s v="NA"/>
    <s v="Net 30"/>
    <n v="918"/>
    <x v="0"/>
  </r>
  <r>
    <s v="AP10717"/>
    <s v="Fast Travel"/>
    <d v="2023-03-20T00:00:00"/>
    <d v="2023-04-19T00:00:00"/>
    <n v="2554.81"/>
    <s v="AUD"/>
    <s v="Paid"/>
    <d v="2023-04-19T00:00:00"/>
    <s v="Net 30"/>
    <n v="1159"/>
    <x v="1"/>
  </r>
  <r>
    <s v="AP10718"/>
    <s v="BluePrints"/>
    <d v="2024-11-19T00:00:00"/>
    <d v="2024-12-19T00:00:00"/>
    <n v="4346.0600000000004"/>
    <s v="GBP"/>
    <s v="Paid"/>
    <d v="2024-12-19T00:00:00"/>
    <s v="Net 30"/>
    <n v="549"/>
    <x v="1"/>
  </r>
  <r>
    <s v="AP10719"/>
    <s v="BluePrints"/>
    <d v="2024-02-14T00:00:00"/>
    <d v="2024-03-15T00:00:00"/>
    <n v="3898.42"/>
    <s v="GBP"/>
    <s v="Paid"/>
    <d v="2024-03-15T00:00:00"/>
    <s v="Net 30"/>
    <n v="828"/>
    <x v="1"/>
  </r>
  <r>
    <s v="AP10720"/>
    <s v="TechMart"/>
    <d v="2024-07-11T00:00:00"/>
    <d v="2024-08-10T00:00:00"/>
    <n v="4765.16"/>
    <s v="EUR"/>
    <s v="Open"/>
    <s v="NA"/>
    <s v="Net 30"/>
    <n v="680"/>
    <x v="0"/>
  </r>
  <r>
    <s v="AP10721"/>
    <s v="ABC Supplies"/>
    <d v="2024-07-14T00:00:00"/>
    <d v="2024-08-13T00:00:00"/>
    <n v="1994.49"/>
    <s v="EUR"/>
    <s v="Open"/>
    <s v="NA"/>
    <s v="Net 30"/>
    <n v="677"/>
    <x v="0"/>
  </r>
  <r>
    <s v="AP10722"/>
    <s v="Fast Travel"/>
    <d v="2023-03-04T00:00:00"/>
    <d v="2023-04-03T00:00:00"/>
    <n v="4230.24"/>
    <s v="GBP"/>
    <s v="Open"/>
    <s v="NA"/>
    <s v="Net 30"/>
    <n v="1175"/>
    <x v="0"/>
  </r>
  <r>
    <s v="AP10723"/>
    <s v="ABC Supplies"/>
    <d v="2024-09-21T00:00:00"/>
    <d v="2024-10-21T00:00:00"/>
    <n v="1606.15"/>
    <s v="CAD"/>
    <s v="Partial"/>
    <s v="NA"/>
    <s v="Net 30"/>
    <n v="608"/>
    <x v="0"/>
  </r>
  <r>
    <s v="AP10724"/>
    <s v="Global Office"/>
    <d v="2024-09-27T00:00:00"/>
    <d v="2024-10-27T00:00:00"/>
    <n v="158.24"/>
    <s v="AUD"/>
    <s v="Open"/>
    <s v="NA"/>
    <s v="Net 30"/>
    <n v="602"/>
    <x v="0"/>
  </r>
  <r>
    <s v="AP10725"/>
    <s v="Fast Travel"/>
    <d v="2023-07-23T00:00:00"/>
    <d v="2023-08-22T00:00:00"/>
    <n v="4538.8900000000003"/>
    <s v="CAD"/>
    <s v="Paid"/>
    <d v="2023-08-22T00:00:00"/>
    <s v="Net 30"/>
    <n v="1034"/>
    <x v="1"/>
  </r>
  <r>
    <s v="AP10726"/>
    <s v="TechMart"/>
    <d v="2024-11-07T00:00:00"/>
    <d v="2024-12-07T00:00:00"/>
    <n v="204.27"/>
    <s v="EUR"/>
    <s v="Open"/>
    <s v="NA"/>
    <s v="Net 30"/>
    <n v="561"/>
    <x v="0"/>
  </r>
  <r>
    <s v="AP10727"/>
    <s v="ABC Supplies"/>
    <d v="2023-07-20T00:00:00"/>
    <d v="2023-08-19T00:00:00"/>
    <n v="3257.13"/>
    <s v="GBP"/>
    <s v="Partial"/>
    <s v="NA"/>
    <s v="Net 30"/>
    <n v="1037"/>
    <x v="0"/>
  </r>
  <r>
    <s v="AP10728"/>
    <s v="BluePrints"/>
    <d v="2024-10-10T00:00:00"/>
    <d v="2024-11-09T00:00:00"/>
    <n v="488.64"/>
    <s v="AUD"/>
    <s v="Paid"/>
    <d v="2024-11-09T00:00:00"/>
    <s v="Net 30"/>
    <n v="589"/>
    <x v="1"/>
  </r>
  <r>
    <s v="AP10729"/>
    <s v="ABC Supplies"/>
    <d v="2023-11-09T00:00:00"/>
    <d v="2023-12-09T00:00:00"/>
    <n v="2790.33"/>
    <s v="GBP"/>
    <s v="Partial"/>
    <s v="NA"/>
    <s v="Net 30"/>
    <n v="925"/>
    <x v="0"/>
  </r>
  <r>
    <s v="AP10730"/>
    <s v="BluePrints"/>
    <d v="2023-09-18T00:00:00"/>
    <d v="2023-10-18T00:00:00"/>
    <n v="1246.1199999999999"/>
    <s v="CAD"/>
    <s v="Partial"/>
    <s v="NA"/>
    <s v="Net 30"/>
    <n v="977"/>
    <x v="0"/>
  </r>
  <r>
    <s v="AP10731"/>
    <s v="Fast Travel"/>
    <d v="2024-06-28T00:00:00"/>
    <d v="2024-07-28T00:00:00"/>
    <n v="2390.31"/>
    <s v="USD"/>
    <s v="Open"/>
    <s v="NA"/>
    <s v="Net 30"/>
    <n v="693"/>
    <x v="0"/>
  </r>
  <r>
    <s v="AP10732"/>
    <s v="ABC Supplies"/>
    <d v="2024-01-12T00:00:00"/>
    <d v="2024-02-11T00:00:00"/>
    <n v="3697.86"/>
    <s v="EUR"/>
    <s v="Partial"/>
    <s v="NA"/>
    <s v="Net 30"/>
    <n v="861"/>
    <x v="0"/>
  </r>
  <r>
    <s v="AP10733"/>
    <s v="BluePrints"/>
    <d v="2025-05-27T00:00:00"/>
    <d v="2025-06-26T00:00:00"/>
    <n v="3404.52"/>
    <s v="GBP"/>
    <s v="Open"/>
    <s v="NA"/>
    <s v="Net 30"/>
    <n v="360"/>
    <x v="0"/>
  </r>
  <r>
    <s v="AP10734"/>
    <s v="ABC Supplies"/>
    <d v="2025-02-21T00:00:00"/>
    <d v="2025-03-23T00:00:00"/>
    <n v="3730.17"/>
    <s v="GBP"/>
    <s v="Open"/>
    <s v="NA"/>
    <s v="Net 30"/>
    <n v="455"/>
    <x v="0"/>
  </r>
  <r>
    <s v="AP10735"/>
    <s v="TechMart"/>
    <d v="2025-04-25T00:00:00"/>
    <d v="2025-05-25T00:00:00"/>
    <n v="199.45"/>
    <s v="AUD"/>
    <s v="Partial"/>
    <s v="NA"/>
    <s v="Net 30"/>
    <n v="392"/>
    <x v="0"/>
  </r>
  <r>
    <s v="AP10736"/>
    <s v="ABC Supplies"/>
    <d v="2024-12-20T00:00:00"/>
    <d v="2025-01-19T00:00:00"/>
    <n v="4466.8"/>
    <s v="AUD"/>
    <s v="Open"/>
    <s v="NA"/>
    <s v="Net 30"/>
    <n v="518"/>
    <x v="0"/>
  </r>
  <r>
    <s v="AP10737"/>
    <s v="Global Office"/>
    <d v="2025-05-28T00:00:00"/>
    <d v="2025-06-27T00:00:00"/>
    <n v="4368.08"/>
    <s v="GBP"/>
    <s v="Paid"/>
    <d v="2025-06-27T00:00:00"/>
    <s v="Net 30"/>
    <n v="359"/>
    <x v="1"/>
  </r>
  <r>
    <s v="AP10738"/>
    <s v="BluePrints"/>
    <d v="2023-12-09T00:00:00"/>
    <d v="2024-01-08T00:00:00"/>
    <n v="2910.39"/>
    <s v="EUR"/>
    <s v="Paid"/>
    <d v="2024-01-08T00:00:00"/>
    <s v="Net 30"/>
    <n v="895"/>
    <x v="1"/>
  </r>
  <r>
    <s v="AP10739"/>
    <s v="Fast Travel"/>
    <d v="2023-03-22T00:00:00"/>
    <d v="2023-04-21T00:00:00"/>
    <n v="3087.9"/>
    <s v="CAD"/>
    <s v="Paid"/>
    <d v="2023-04-21T00:00:00"/>
    <s v="Net 30"/>
    <n v="1157"/>
    <x v="1"/>
  </r>
  <r>
    <s v="AP10740"/>
    <s v="ABC Supplies"/>
    <d v="2023-09-14T00:00:00"/>
    <d v="2023-10-14T00:00:00"/>
    <n v="3956.78"/>
    <s v="CAD"/>
    <s v="Paid"/>
    <d v="2023-10-14T00:00:00"/>
    <s v="Net 30"/>
    <n v="981"/>
    <x v="1"/>
  </r>
  <r>
    <s v="AP10741"/>
    <s v="Fast Travel"/>
    <d v="2023-10-23T00:00:00"/>
    <d v="2023-11-22T00:00:00"/>
    <n v="1173.72"/>
    <s v="CAD"/>
    <s v="Paid"/>
    <d v="2023-11-22T00:00:00"/>
    <s v="Net 30"/>
    <n v="942"/>
    <x v="1"/>
  </r>
  <r>
    <s v="AP10742"/>
    <s v="Fast Travel"/>
    <d v="2024-03-08T00:00:00"/>
    <d v="2024-04-07T00:00:00"/>
    <n v="3885.28"/>
    <s v="GBP"/>
    <s v="Paid"/>
    <d v="2024-04-07T00:00:00"/>
    <s v="Net 30"/>
    <n v="805"/>
    <x v="1"/>
  </r>
  <r>
    <s v="AP10743"/>
    <s v="Global Office"/>
    <d v="2023-12-08T00:00:00"/>
    <d v="2024-01-07T00:00:00"/>
    <n v="211.34"/>
    <s v="USD"/>
    <s v="Open"/>
    <s v="NA"/>
    <s v="Net 30"/>
    <n v="896"/>
    <x v="0"/>
  </r>
  <r>
    <s v="AP10744"/>
    <s v="TechMart"/>
    <d v="2023-02-26T00:00:00"/>
    <d v="2023-03-28T00:00:00"/>
    <n v="1345.89"/>
    <s v="AUD"/>
    <s v="Paid"/>
    <d v="2023-03-28T00:00:00"/>
    <s v="Net 30"/>
    <n v="1181"/>
    <x v="1"/>
  </r>
  <r>
    <s v="AP10745"/>
    <s v="ABC Supplies"/>
    <d v="2023-12-23T00:00:00"/>
    <d v="2024-01-22T00:00:00"/>
    <n v="4777.7299999999996"/>
    <s v="EUR"/>
    <s v="Partial"/>
    <s v="NA"/>
    <s v="Net 30"/>
    <n v="881"/>
    <x v="0"/>
  </r>
  <r>
    <s v="AP10746"/>
    <s v="BluePrints"/>
    <d v="2023-09-25T00:00:00"/>
    <d v="2023-10-25T00:00:00"/>
    <n v="3137.33"/>
    <s v="AUD"/>
    <s v="Open"/>
    <s v="NA"/>
    <s v="Net 30"/>
    <n v="970"/>
    <x v="0"/>
  </r>
  <r>
    <s v="AP10747"/>
    <s v="Global Office"/>
    <d v="2024-07-15T00:00:00"/>
    <d v="2024-08-14T00:00:00"/>
    <n v="4831.5200000000004"/>
    <s v="EUR"/>
    <s v="Partial"/>
    <s v="NA"/>
    <s v="Net 30"/>
    <n v="676"/>
    <x v="0"/>
  </r>
  <r>
    <s v="AP10748"/>
    <s v="BluePrints"/>
    <d v="2024-01-30T00:00:00"/>
    <d v="2024-02-29T00:00:00"/>
    <n v="1343.46"/>
    <s v="CAD"/>
    <s v="Partial"/>
    <s v="NA"/>
    <s v="Net 30"/>
    <n v="843"/>
    <x v="0"/>
  </r>
  <r>
    <s v="AP10749"/>
    <s v="BluePrints"/>
    <d v="2023-03-08T00:00:00"/>
    <d v="2023-04-07T00:00:00"/>
    <n v="3815.88"/>
    <s v="CAD"/>
    <s v="Partial"/>
    <s v="NA"/>
    <s v="Net 30"/>
    <n v="1171"/>
    <x v="0"/>
  </r>
  <r>
    <s v="AP10750"/>
    <s v="ABC Supplies"/>
    <d v="2023-05-08T00:00:00"/>
    <d v="2023-06-07T00:00:00"/>
    <n v="3428.98"/>
    <s v="GBP"/>
    <s v="Paid"/>
    <d v="2023-06-07T00:00:00"/>
    <s v="Net 30"/>
    <n v="1110"/>
    <x v="1"/>
  </r>
  <r>
    <s v="AP10751"/>
    <s v="BluePrints"/>
    <d v="2024-04-13T00:00:00"/>
    <d v="2024-05-13T00:00:00"/>
    <n v="1265.55"/>
    <s v="GBP"/>
    <s v="Partial"/>
    <s v="NA"/>
    <s v="Net 30"/>
    <n v="769"/>
    <x v="0"/>
  </r>
  <r>
    <s v="AP10752"/>
    <s v="Global Office"/>
    <d v="2023-12-02T00:00:00"/>
    <d v="2024-01-01T00:00:00"/>
    <n v="1377.49"/>
    <s v="AUD"/>
    <s v="Paid"/>
    <d v="2024-01-01T00:00:00"/>
    <s v="Net 30"/>
    <n v="902"/>
    <x v="1"/>
  </r>
  <r>
    <s v="AP10753"/>
    <s v="BluePrints"/>
    <d v="2024-08-31T00:00:00"/>
    <d v="2024-09-30T00:00:00"/>
    <n v="2125.3000000000002"/>
    <s v="EUR"/>
    <s v="Partial"/>
    <s v="NA"/>
    <s v="Net 30"/>
    <n v="629"/>
    <x v="0"/>
  </r>
  <r>
    <s v="AP10754"/>
    <s v="Fast Travel"/>
    <d v="2024-04-26T00:00:00"/>
    <d v="2024-05-26T00:00:00"/>
    <n v="2582.08"/>
    <s v="GBP"/>
    <s v="Paid"/>
    <d v="2024-05-26T00:00:00"/>
    <s v="Net 30"/>
    <n v="756"/>
    <x v="1"/>
  </r>
  <r>
    <s v="AP10755"/>
    <s v="TechMart"/>
    <d v="2025-02-19T00:00:00"/>
    <d v="2025-03-21T00:00:00"/>
    <n v="1722.33"/>
    <s v="GBP"/>
    <s v="Paid"/>
    <d v="2025-03-21T00:00:00"/>
    <s v="Net 30"/>
    <n v="457"/>
    <x v="1"/>
  </r>
  <r>
    <s v="AP10756"/>
    <s v="TechMart"/>
    <d v="2024-11-17T00:00:00"/>
    <d v="2024-12-17T00:00:00"/>
    <n v="4374.09"/>
    <s v="EUR"/>
    <s v="Partial"/>
    <s v="NA"/>
    <s v="Net 30"/>
    <n v="551"/>
    <x v="0"/>
  </r>
  <r>
    <s v="AP10757"/>
    <s v="BluePrints"/>
    <d v="2023-08-24T00:00:00"/>
    <d v="2023-09-23T00:00:00"/>
    <n v="3289.59"/>
    <s v="CAD"/>
    <s v="Open"/>
    <s v="NA"/>
    <s v="Net 30"/>
    <n v="1002"/>
    <x v="0"/>
  </r>
  <r>
    <s v="AP10758"/>
    <s v="ABC Supplies"/>
    <d v="2024-01-10T00:00:00"/>
    <d v="2024-02-09T00:00:00"/>
    <n v="2204.2800000000002"/>
    <s v="USD"/>
    <s v="Paid"/>
    <d v="2024-02-09T00:00:00"/>
    <s v="Net 30"/>
    <n v="863"/>
    <x v="1"/>
  </r>
  <r>
    <s v="AP10759"/>
    <s v="ABC Supplies"/>
    <d v="2024-02-18T00:00:00"/>
    <d v="2024-03-19T00:00:00"/>
    <n v="3457.45"/>
    <s v="GBP"/>
    <s v="Open"/>
    <s v="NA"/>
    <s v="Net 30"/>
    <n v="824"/>
    <x v="0"/>
  </r>
  <r>
    <s v="AP10760"/>
    <s v="TechMart"/>
    <d v="2023-05-08T00:00:00"/>
    <d v="2023-06-07T00:00:00"/>
    <n v="2571.9"/>
    <s v="USD"/>
    <s v="Paid"/>
    <d v="2023-06-07T00:00:00"/>
    <s v="Net 30"/>
    <n v="1110"/>
    <x v="1"/>
  </r>
  <r>
    <s v="AP10761"/>
    <s v="BluePrints"/>
    <d v="2024-11-22T00:00:00"/>
    <d v="2024-12-22T00:00:00"/>
    <n v="2573.94"/>
    <s v="EUR"/>
    <s v="Paid"/>
    <d v="2024-12-22T00:00:00"/>
    <s v="Net 30"/>
    <n v="546"/>
    <x v="1"/>
  </r>
  <r>
    <s v="AP10762"/>
    <s v="BluePrints"/>
    <d v="2025-01-22T00:00:00"/>
    <d v="2025-02-21T00:00:00"/>
    <n v="3760.26"/>
    <s v="USD"/>
    <s v="Open"/>
    <s v="NA"/>
    <s v="Net 30"/>
    <n v="485"/>
    <x v="0"/>
  </r>
  <r>
    <s v="AP10763"/>
    <s v="TechMart"/>
    <d v="2024-04-03T00:00:00"/>
    <d v="2024-05-03T00:00:00"/>
    <n v="645.44000000000005"/>
    <s v="USD"/>
    <s v="Paid"/>
    <d v="2024-05-03T00:00:00"/>
    <s v="Net 30"/>
    <n v="779"/>
    <x v="1"/>
  </r>
  <r>
    <s v="AP10764"/>
    <s v="TechMart"/>
    <d v="2023-08-10T00:00:00"/>
    <d v="2023-09-09T00:00:00"/>
    <n v="948.66"/>
    <s v="GBP"/>
    <s v="Paid"/>
    <d v="2023-09-09T00:00:00"/>
    <s v="Net 30"/>
    <n v="1016"/>
    <x v="1"/>
  </r>
  <r>
    <s v="AP10765"/>
    <s v="TechMart"/>
    <d v="2023-05-24T00:00:00"/>
    <d v="2023-06-23T00:00:00"/>
    <n v="4936.8"/>
    <s v="AUD"/>
    <s v="Paid"/>
    <d v="2023-06-23T00:00:00"/>
    <s v="Net 30"/>
    <n v="1094"/>
    <x v="1"/>
  </r>
  <r>
    <s v="AP10766"/>
    <s v="ABC Supplies"/>
    <d v="2023-03-03T00:00:00"/>
    <d v="2023-04-02T00:00:00"/>
    <n v="4286.67"/>
    <s v="USD"/>
    <s v="Paid"/>
    <d v="2023-04-02T00:00:00"/>
    <s v="Net 30"/>
    <n v="1176"/>
    <x v="1"/>
  </r>
  <r>
    <s v="AP10767"/>
    <s v="Fast Travel"/>
    <d v="2023-12-03T00:00:00"/>
    <d v="2024-01-02T00:00:00"/>
    <n v="4346.29"/>
    <s v="GBP"/>
    <s v="Partial"/>
    <s v="NA"/>
    <s v="Net 30"/>
    <n v="901"/>
    <x v="0"/>
  </r>
  <r>
    <s v="AP10768"/>
    <s v="Fast Travel"/>
    <d v="2025-01-02T00:00:00"/>
    <d v="2025-02-01T00:00:00"/>
    <n v="2978.71"/>
    <s v="GBP"/>
    <s v="Partial"/>
    <s v="NA"/>
    <s v="Net 30"/>
    <n v="505"/>
    <x v="0"/>
  </r>
  <r>
    <s v="AP10769"/>
    <s v="ABC Supplies"/>
    <d v="2025-04-05T00:00:00"/>
    <d v="2025-05-05T00:00:00"/>
    <n v="3489.97"/>
    <s v="CAD"/>
    <s v="Open"/>
    <s v="NA"/>
    <s v="Net 30"/>
    <n v="412"/>
    <x v="0"/>
  </r>
  <r>
    <s v="AP10770"/>
    <s v="Global Office"/>
    <d v="2024-12-22T00:00:00"/>
    <d v="2025-01-21T00:00:00"/>
    <n v="290.89999999999998"/>
    <s v="EUR"/>
    <s v="Open"/>
    <s v="NA"/>
    <s v="Net 30"/>
    <n v="516"/>
    <x v="0"/>
  </r>
  <r>
    <s v="AP10771"/>
    <s v="TechMart"/>
    <d v="2025-03-09T00:00:00"/>
    <d v="2025-04-08T00:00:00"/>
    <n v="2592.92"/>
    <s v="GBP"/>
    <s v="Partial"/>
    <s v="NA"/>
    <s v="Net 30"/>
    <n v="439"/>
    <x v="0"/>
  </r>
  <r>
    <s v="AP10772"/>
    <s v="ABC Supplies"/>
    <d v="2024-08-01T00:00:00"/>
    <d v="2024-08-31T00:00:00"/>
    <n v="4904.8599999999997"/>
    <s v="CAD"/>
    <s v="Open"/>
    <s v="NA"/>
    <s v="Net 30"/>
    <n v="659"/>
    <x v="0"/>
  </r>
  <r>
    <s v="AP10773"/>
    <s v="ABC Supplies"/>
    <d v="2025-03-22T00:00:00"/>
    <d v="2025-04-21T00:00:00"/>
    <n v="2807.72"/>
    <s v="GBP"/>
    <s v="Partial"/>
    <s v="NA"/>
    <s v="Net 30"/>
    <n v="426"/>
    <x v="0"/>
  </r>
  <r>
    <s v="AP10774"/>
    <s v="Global Office"/>
    <d v="2025-02-28T00:00:00"/>
    <d v="2025-03-30T00:00:00"/>
    <n v="3910.59"/>
    <s v="EUR"/>
    <s v="Open"/>
    <s v="NA"/>
    <s v="Net 30"/>
    <n v="448"/>
    <x v="0"/>
  </r>
  <r>
    <s v="AP10775"/>
    <s v="Global Office"/>
    <d v="2023-06-06T00:00:00"/>
    <d v="2023-07-06T00:00:00"/>
    <n v="1583.9"/>
    <s v="EUR"/>
    <s v="Partial"/>
    <s v="NA"/>
    <s v="Net 30"/>
    <n v="1081"/>
    <x v="0"/>
  </r>
  <r>
    <s v="AP10776"/>
    <s v="BluePrints"/>
    <d v="2025-03-07T00:00:00"/>
    <d v="2025-04-06T00:00:00"/>
    <n v="734.99"/>
    <s v="GBP"/>
    <s v="Partial"/>
    <s v="NA"/>
    <s v="Net 30"/>
    <n v="441"/>
    <x v="0"/>
  </r>
  <r>
    <s v="AP10777"/>
    <s v="ABC Supplies"/>
    <d v="2024-01-24T00:00:00"/>
    <d v="2024-02-23T00:00:00"/>
    <n v="2547.7800000000002"/>
    <s v="AUD"/>
    <s v="Open"/>
    <s v="NA"/>
    <s v="Net 30"/>
    <n v="849"/>
    <x v="0"/>
  </r>
  <r>
    <s v="AP10778"/>
    <s v="ABC Supplies"/>
    <d v="2024-11-12T00:00:00"/>
    <d v="2024-12-12T00:00:00"/>
    <n v="4777.6400000000003"/>
    <s v="AUD"/>
    <s v="Partial"/>
    <s v="NA"/>
    <s v="Net 30"/>
    <n v="556"/>
    <x v="0"/>
  </r>
  <r>
    <s v="AP10779"/>
    <s v="Fast Travel"/>
    <d v="2023-11-01T00:00:00"/>
    <d v="2023-12-01T00:00:00"/>
    <n v="791.99"/>
    <s v="GBP"/>
    <s v="Paid"/>
    <d v="2023-12-01T00:00:00"/>
    <s v="Net 30"/>
    <n v="933"/>
    <x v="1"/>
  </r>
  <r>
    <s v="AP10780"/>
    <s v="ABC Supplies"/>
    <d v="2024-08-29T00:00:00"/>
    <d v="2024-09-28T00:00:00"/>
    <n v="4963.01"/>
    <s v="USD"/>
    <s v="Partial"/>
    <s v="NA"/>
    <s v="Net 30"/>
    <n v="631"/>
    <x v="0"/>
  </r>
  <r>
    <s v="AP10781"/>
    <s v="BluePrints"/>
    <d v="2023-07-19T00:00:00"/>
    <d v="2023-08-18T00:00:00"/>
    <n v="4539.28"/>
    <s v="GBP"/>
    <s v="Paid"/>
    <d v="2023-08-18T00:00:00"/>
    <s v="Net 30"/>
    <n v="1038"/>
    <x v="1"/>
  </r>
  <r>
    <s v="AP10782"/>
    <s v="Fast Travel"/>
    <d v="2024-11-19T00:00:00"/>
    <d v="2024-12-19T00:00:00"/>
    <n v="3114.85"/>
    <s v="EUR"/>
    <s v="Partial"/>
    <s v="NA"/>
    <s v="Net 30"/>
    <n v="549"/>
    <x v="0"/>
  </r>
  <r>
    <s v="AP10783"/>
    <s v="Global Office"/>
    <d v="2025-04-21T00:00:00"/>
    <d v="2025-05-21T00:00:00"/>
    <n v="3340.58"/>
    <s v="AUD"/>
    <s v="Paid"/>
    <d v="2025-05-21T00:00:00"/>
    <s v="Net 30"/>
    <n v="396"/>
    <x v="1"/>
  </r>
  <r>
    <s v="AP10784"/>
    <s v="ABC Supplies"/>
    <d v="2025-04-07T00:00:00"/>
    <d v="2025-05-07T00:00:00"/>
    <n v="4187.3"/>
    <s v="AUD"/>
    <s v="Paid"/>
    <d v="2025-05-07T00:00:00"/>
    <s v="Net 30"/>
    <n v="410"/>
    <x v="1"/>
  </r>
  <r>
    <s v="AP10785"/>
    <s v="Fast Travel"/>
    <d v="2023-11-19T00:00:00"/>
    <d v="2023-12-19T00:00:00"/>
    <n v="4020.64"/>
    <s v="CAD"/>
    <s v="Paid"/>
    <d v="2023-12-19T00:00:00"/>
    <s v="Net 30"/>
    <n v="915"/>
    <x v="1"/>
  </r>
  <r>
    <s v="AP10786"/>
    <s v="TechMart"/>
    <d v="2025-01-30T00:00:00"/>
    <d v="2025-03-01T00:00:00"/>
    <n v="755.89"/>
    <s v="GBP"/>
    <s v="Partial"/>
    <s v="NA"/>
    <s v="Net 30"/>
    <n v="477"/>
    <x v="0"/>
  </r>
  <r>
    <s v="AP10787"/>
    <s v="ABC Supplies"/>
    <d v="2023-07-08T00:00:00"/>
    <d v="2023-08-07T00:00:00"/>
    <n v="1670.28"/>
    <s v="CAD"/>
    <s v="Paid"/>
    <d v="2023-08-07T00:00:00"/>
    <s v="Net 30"/>
    <n v="1049"/>
    <x v="1"/>
  </r>
  <r>
    <s v="AP10788"/>
    <s v="BluePrints"/>
    <d v="2024-09-16T00:00:00"/>
    <d v="2024-10-16T00:00:00"/>
    <n v="4064.87"/>
    <s v="EUR"/>
    <s v="Partial"/>
    <s v="NA"/>
    <s v="Net 30"/>
    <n v="613"/>
    <x v="0"/>
  </r>
  <r>
    <s v="AP10789"/>
    <s v="Fast Travel"/>
    <d v="2023-02-18T00:00:00"/>
    <d v="2023-03-20T00:00:00"/>
    <n v="4071.09"/>
    <s v="USD"/>
    <s v="Partial"/>
    <s v="NA"/>
    <s v="Net 30"/>
    <n v="1189"/>
    <x v="0"/>
  </r>
  <r>
    <s v="AP10790"/>
    <s v="BluePrints"/>
    <d v="2025-01-25T00:00:00"/>
    <d v="2025-02-24T00:00:00"/>
    <n v="311.52"/>
    <s v="GBP"/>
    <s v="Open"/>
    <s v="NA"/>
    <s v="Net 30"/>
    <n v="482"/>
    <x v="0"/>
  </r>
  <r>
    <s v="AP10791"/>
    <s v="Fast Travel"/>
    <d v="2024-06-24T00:00:00"/>
    <d v="2024-07-24T00:00:00"/>
    <n v="4351.8"/>
    <s v="AUD"/>
    <s v="Paid"/>
    <d v="2024-07-24T00:00:00"/>
    <s v="Net 30"/>
    <n v="697"/>
    <x v="1"/>
  </r>
  <r>
    <s v="AP10792"/>
    <s v="BluePrints"/>
    <d v="2024-03-03T00:00:00"/>
    <d v="2024-04-02T00:00:00"/>
    <n v="3524.51"/>
    <s v="GBP"/>
    <s v="Open"/>
    <s v="NA"/>
    <s v="Net 30"/>
    <n v="810"/>
    <x v="0"/>
  </r>
  <r>
    <s v="AP10793"/>
    <s v="BluePrints"/>
    <d v="2023-02-21T00:00:00"/>
    <d v="2023-03-23T00:00:00"/>
    <n v="2999.23"/>
    <s v="AUD"/>
    <s v="Paid"/>
    <d v="2023-03-23T00:00:00"/>
    <s v="Net 30"/>
    <n v="1186"/>
    <x v="1"/>
  </r>
  <r>
    <s v="AP10794"/>
    <s v="Fast Travel"/>
    <d v="2024-09-08T00:00:00"/>
    <d v="2024-10-08T00:00:00"/>
    <n v="754.06"/>
    <s v="EUR"/>
    <s v="Partial"/>
    <m/>
    <s v="Net 30"/>
    <n v="621"/>
    <x v="0"/>
  </r>
  <r>
    <s v="AP10795"/>
    <s v="Fast Travel"/>
    <d v="2023-02-04T00:00:00"/>
    <d v="2023-03-06T00:00:00"/>
    <n v="4250.7"/>
    <s v="AUD"/>
    <s v="Paid"/>
    <d v="2023-03-06T00:00:00"/>
    <s v="Net 30"/>
    <n v="1203"/>
    <x v="1"/>
  </r>
  <r>
    <s v="AP10796"/>
    <s v="BluePrints"/>
    <d v="2024-04-02T00:00:00"/>
    <d v="2024-05-02T00:00:00"/>
    <n v="613.6"/>
    <s v="GBP"/>
    <s v="Open"/>
    <s v="NA"/>
    <s v="Net 30"/>
    <n v="780"/>
    <x v="0"/>
  </r>
  <r>
    <s v="AP10797"/>
    <s v="Global Office"/>
    <d v="2025-03-16T00:00:00"/>
    <d v="2025-04-15T00:00:00"/>
    <n v="1012.88"/>
    <s v="EUR"/>
    <s v="Partial"/>
    <s v="NA"/>
    <s v="NA"/>
    <n v="432"/>
    <x v="0"/>
  </r>
  <r>
    <s v="AP10798"/>
    <s v="ABC Supplies"/>
    <d v="2025-06-19T00:00:00"/>
    <d v="2025-07-19T00:00:00"/>
    <n v="290.27"/>
    <s v="GBP"/>
    <s v="Partial"/>
    <s v="NA"/>
    <s v="Net 30"/>
    <n v="337"/>
    <x v="0"/>
  </r>
  <r>
    <s v="AP10799"/>
    <s v="Global Office"/>
    <d v="2024-12-22T00:00:00"/>
    <d v="2025-01-21T00:00:00"/>
    <n v="4608.55"/>
    <s v="AUD"/>
    <s v="Partial"/>
    <s v="NA"/>
    <s v="Net 30"/>
    <n v="516"/>
    <x v="0"/>
  </r>
  <r>
    <m/>
    <m/>
    <m/>
    <m/>
    <n v="2087522.2899999993"/>
    <m/>
    <n v="267"/>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P10000"/>
    <x v="0"/>
    <x v="0"/>
    <d v="2025-01-15T00:00:00"/>
    <n v="344.25"/>
    <x v="0"/>
    <x v="0"/>
    <s v="NA"/>
    <x v="0"/>
  </r>
  <r>
    <s v="AP10001"/>
    <x v="0"/>
    <x v="1"/>
    <d v="2024-06-17T00:00:00"/>
    <n v="3298.38"/>
    <x v="1"/>
    <x v="1"/>
    <s v="NA"/>
    <x v="0"/>
  </r>
  <r>
    <s v="AP10002"/>
    <x v="1"/>
    <x v="2"/>
    <d v="2024-03-26T00:00:00"/>
    <n v="1023.43"/>
    <x v="2"/>
    <x v="0"/>
    <s v="NA"/>
    <x v="0"/>
  </r>
  <r>
    <s v="AP10003"/>
    <x v="2"/>
    <x v="3"/>
    <d v="2024-02-07T00:00:00"/>
    <n v="4433.05"/>
    <x v="3"/>
    <x v="1"/>
    <s v="NA"/>
    <x v="0"/>
  </r>
  <r>
    <s v="AP10004"/>
    <x v="2"/>
    <x v="4"/>
    <d v="2024-06-22T00:00:00"/>
    <n v="4345.1400000000003"/>
    <x v="2"/>
    <x v="1"/>
    <s v="NA"/>
    <x v="0"/>
  </r>
  <r>
    <s v="AP10005"/>
    <x v="1"/>
    <x v="5"/>
    <d v="2024-08-08T00:00:00"/>
    <n v="1599.18"/>
    <x v="4"/>
    <x v="0"/>
    <s v="NA"/>
    <x v="0"/>
  </r>
  <r>
    <s v="AP10006"/>
    <x v="0"/>
    <x v="6"/>
    <d v="2025-01-19T00:00:00"/>
    <n v="894.13"/>
    <x v="3"/>
    <x v="0"/>
    <s v="NA"/>
    <x v="0"/>
  </r>
  <r>
    <s v="AP10007"/>
    <x v="1"/>
    <x v="7"/>
    <d v="2024-10-25T00:00:00"/>
    <n v="1303.06"/>
    <x v="2"/>
    <x v="2"/>
    <d v="2024-10-25T00:00:00"/>
    <x v="0"/>
  </r>
  <r>
    <s v="AP10008"/>
    <x v="2"/>
    <x v="8"/>
    <d v="2024-03-13T00:00:00"/>
    <n v="3481.8"/>
    <x v="1"/>
    <x v="2"/>
    <d v="2024-03-13T00:00:00"/>
    <x v="0"/>
  </r>
  <r>
    <s v="AP10009"/>
    <x v="2"/>
    <x v="9"/>
    <d v="2024-07-27T00:00:00"/>
    <n v="217.97"/>
    <x v="3"/>
    <x v="0"/>
    <s v="NA"/>
    <x v="0"/>
  </r>
  <r>
    <s v="AP10010"/>
    <x v="0"/>
    <x v="10"/>
    <d v="2024-04-08T00:00:00"/>
    <n v="1809.07"/>
    <x v="0"/>
    <x v="1"/>
    <s v="NA"/>
    <x v="0"/>
  </r>
  <r>
    <s v="AP10011"/>
    <x v="0"/>
    <x v="11"/>
    <d v="2024-11-09T00:00:00"/>
    <n v="884.1"/>
    <x v="3"/>
    <x v="0"/>
    <s v="NA"/>
    <x v="0"/>
  </r>
  <r>
    <s v="AP10012"/>
    <x v="2"/>
    <x v="12"/>
    <d v="2023-06-18T00:00:00"/>
    <n v="1491.7"/>
    <x v="2"/>
    <x v="0"/>
    <s v="NA"/>
    <x v="0"/>
  </r>
  <r>
    <s v="AP10013"/>
    <x v="2"/>
    <x v="13"/>
    <d v="2023-12-19T00:00:00"/>
    <n v="4212.17"/>
    <x v="4"/>
    <x v="2"/>
    <d v="2023-12-19T00:00:00"/>
    <x v="0"/>
  </r>
  <r>
    <s v="AP10014"/>
    <x v="0"/>
    <x v="14"/>
    <d v="2024-06-04T00:00:00"/>
    <n v="1632.82"/>
    <x v="2"/>
    <x v="0"/>
    <s v="NA"/>
    <x v="0"/>
  </r>
  <r>
    <s v="AP10015"/>
    <x v="0"/>
    <x v="15"/>
    <d v="2023-07-04T00:00:00"/>
    <n v="1887.67"/>
    <x v="0"/>
    <x v="2"/>
    <d v="2023-07-04T00:00:00"/>
    <x v="0"/>
  </r>
  <r>
    <s v="AP10016"/>
    <x v="0"/>
    <x v="16"/>
    <d v="2024-01-09T00:00:00"/>
    <n v="1721.41"/>
    <x v="2"/>
    <x v="0"/>
    <s v="NA"/>
    <x v="0"/>
  </r>
  <r>
    <s v="AP10017"/>
    <x v="3"/>
    <x v="17"/>
    <d v="2025-01-29T00:00:00"/>
    <n v="2941.63"/>
    <x v="3"/>
    <x v="0"/>
    <s v="NA"/>
    <x v="0"/>
  </r>
  <r>
    <s v="AP10018"/>
    <x v="1"/>
    <x v="9"/>
    <d v="2024-07-27T00:00:00"/>
    <n v="889.44"/>
    <x v="3"/>
    <x v="2"/>
    <d v="2024-07-27T00:00:00"/>
    <x v="0"/>
  </r>
  <r>
    <s v="AP10019"/>
    <x v="1"/>
    <x v="18"/>
    <d v="2025-04-27T00:00:00"/>
    <n v="1539.53"/>
    <x v="4"/>
    <x v="1"/>
    <s v="NA"/>
    <x v="0"/>
  </r>
  <r>
    <s v="AP10020"/>
    <x v="4"/>
    <x v="19"/>
    <d v="2023-08-13T00:00:00"/>
    <n v="996.27"/>
    <x v="4"/>
    <x v="0"/>
    <s v="NA"/>
    <x v="0"/>
  </r>
  <r>
    <s v="AP10021"/>
    <x v="4"/>
    <x v="20"/>
    <d v="2023-07-28T00:00:00"/>
    <n v="2450.1"/>
    <x v="1"/>
    <x v="1"/>
    <s v="NA"/>
    <x v="0"/>
  </r>
  <r>
    <s v="AP10022"/>
    <x v="3"/>
    <x v="21"/>
    <d v="2025-01-26T00:00:00"/>
    <n v="797.8"/>
    <x v="1"/>
    <x v="0"/>
    <s v="NA"/>
    <x v="0"/>
  </r>
  <r>
    <s v="AP10023"/>
    <x v="0"/>
    <x v="22"/>
    <d v="2023-06-15T00:00:00"/>
    <n v="4237.6499999999996"/>
    <x v="2"/>
    <x v="1"/>
    <s v="NA"/>
    <x v="0"/>
  </r>
  <r>
    <s v="AP10024"/>
    <x v="3"/>
    <x v="23"/>
    <d v="2023-10-30T00:00:00"/>
    <n v="665.06"/>
    <x v="4"/>
    <x v="0"/>
    <s v="NA"/>
    <x v="0"/>
  </r>
  <r>
    <s v="AP10025"/>
    <x v="3"/>
    <x v="24"/>
    <d v="2025-01-13T00:00:00"/>
    <n v="3849.16"/>
    <x v="2"/>
    <x v="1"/>
    <s v="NA"/>
    <x v="0"/>
  </r>
  <r>
    <s v="AP10026"/>
    <x v="0"/>
    <x v="25"/>
    <d v="2023-08-16T00:00:00"/>
    <n v="4411.88"/>
    <x v="1"/>
    <x v="2"/>
    <d v="2023-08-16T00:00:00"/>
    <x v="0"/>
  </r>
  <r>
    <s v="AP10027"/>
    <x v="1"/>
    <x v="26"/>
    <d v="2024-04-24T00:00:00"/>
    <n v="296.64999999999998"/>
    <x v="3"/>
    <x v="2"/>
    <d v="2024-04-24T00:00:00"/>
    <x v="0"/>
  </r>
  <r>
    <s v="AP10028"/>
    <x v="4"/>
    <x v="27"/>
    <d v="2024-11-27T00:00:00"/>
    <n v="3099.8"/>
    <x v="2"/>
    <x v="0"/>
    <s v="NA"/>
    <x v="0"/>
  </r>
  <r>
    <s v="AP10029"/>
    <x v="3"/>
    <x v="28"/>
    <d v="2023-04-05T00:00:00"/>
    <n v="4007.29"/>
    <x v="1"/>
    <x v="0"/>
    <s v="NA"/>
    <x v="0"/>
  </r>
  <r>
    <s v="AP10030"/>
    <x v="1"/>
    <x v="29"/>
    <d v="2024-03-14T00:00:00"/>
    <n v="2884.32"/>
    <x v="1"/>
    <x v="1"/>
    <s v="NA"/>
    <x v="0"/>
  </r>
  <r>
    <s v="AP10031"/>
    <x v="1"/>
    <x v="30"/>
    <d v="2023-04-14T00:00:00"/>
    <n v="4830.24"/>
    <x v="0"/>
    <x v="2"/>
    <d v="2023-04-14T00:00:00"/>
    <x v="0"/>
  </r>
  <r>
    <s v="AP10032"/>
    <x v="3"/>
    <x v="31"/>
    <d v="2023-11-10T00:00:00"/>
    <n v="4841.22"/>
    <x v="3"/>
    <x v="2"/>
    <d v="2023-11-10T00:00:00"/>
    <x v="0"/>
  </r>
  <r>
    <s v="AP10033"/>
    <x v="2"/>
    <x v="32"/>
    <d v="2024-12-02T00:00:00"/>
    <n v="3601.17"/>
    <x v="4"/>
    <x v="0"/>
    <s v="NA"/>
    <x v="0"/>
  </r>
  <r>
    <s v="AP10034"/>
    <x v="1"/>
    <x v="33"/>
    <d v="2025-02-10T00:00:00"/>
    <n v="3913.65"/>
    <x v="2"/>
    <x v="2"/>
    <d v="2025-02-10T00:00:00"/>
    <x v="0"/>
  </r>
  <r>
    <s v="AP10035"/>
    <x v="2"/>
    <x v="34"/>
    <d v="2023-05-09T00:00:00"/>
    <n v="1117.52"/>
    <x v="1"/>
    <x v="0"/>
    <s v="NA"/>
    <x v="0"/>
  </r>
  <r>
    <s v="AP10036"/>
    <x v="0"/>
    <x v="35"/>
    <d v="2023-08-20T00:00:00"/>
    <n v="4178.2"/>
    <x v="1"/>
    <x v="1"/>
    <s v="NA"/>
    <x v="0"/>
  </r>
  <r>
    <s v="AP10037"/>
    <x v="3"/>
    <x v="36"/>
    <d v="2024-08-30T00:00:00"/>
    <n v="504.02"/>
    <x v="3"/>
    <x v="1"/>
    <s v="NA"/>
    <x v="0"/>
  </r>
  <r>
    <s v="AP10038"/>
    <x v="0"/>
    <x v="37"/>
    <d v="2023-02-07T00:00:00"/>
    <n v="3156.05"/>
    <x v="2"/>
    <x v="0"/>
    <s v="NA"/>
    <x v="0"/>
  </r>
  <r>
    <s v="AP10039"/>
    <x v="3"/>
    <x v="38"/>
    <d v="2023-07-31T00:00:00"/>
    <n v="3284.77"/>
    <x v="0"/>
    <x v="1"/>
    <s v="NA"/>
    <x v="0"/>
  </r>
  <r>
    <s v="AP10040"/>
    <x v="3"/>
    <x v="39"/>
    <d v="2025-06-23T00:00:00"/>
    <n v="4519.76"/>
    <x v="3"/>
    <x v="0"/>
    <s v="NA"/>
    <x v="0"/>
  </r>
  <r>
    <s v="AP10041"/>
    <x v="0"/>
    <x v="40"/>
    <d v="2024-02-21T00:00:00"/>
    <n v="4094.28"/>
    <x v="0"/>
    <x v="1"/>
    <s v="NA"/>
    <x v="0"/>
  </r>
  <r>
    <s v="AP10042"/>
    <x v="0"/>
    <x v="41"/>
    <d v="2023-03-12T00:00:00"/>
    <n v="3097.79"/>
    <x v="0"/>
    <x v="2"/>
    <d v="2023-03-12T00:00:00"/>
    <x v="0"/>
  </r>
  <r>
    <s v="AP10043"/>
    <x v="1"/>
    <x v="42"/>
    <d v="2025-07-01T00:00:00"/>
    <n v="1415.24"/>
    <x v="4"/>
    <x v="1"/>
    <s v="NA"/>
    <x v="0"/>
  </r>
  <r>
    <s v="AP10044"/>
    <x v="0"/>
    <x v="43"/>
    <d v="2023-07-25T00:00:00"/>
    <n v="3224.33"/>
    <x v="2"/>
    <x v="1"/>
    <s v="NA"/>
    <x v="0"/>
  </r>
  <r>
    <s v="AP10045"/>
    <x v="4"/>
    <x v="44"/>
    <d v="2023-07-26T00:00:00"/>
    <n v="1164.49"/>
    <x v="3"/>
    <x v="1"/>
    <s v="NA"/>
    <x v="0"/>
  </r>
  <r>
    <s v="AP10046"/>
    <x v="4"/>
    <x v="33"/>
    <d v="2025-02-10T00:00:00"/>
    <n v="2557.61"/>
    <x v="3"/>
    <x v="2"/>
    <d v="2025-02-10T00:00:00"/>
    <x v="0"/>
  </r>
  <r>
    <s v="AP10047"/>
    <x v="0"/>
    <x v="45"/>
    <d v="2025-02-24T00:00:00"/>
    <n v="393.4"/>
    <x v="2"/>
    <x v="0"/>
    <s v="NA"/>
    <x v="0"/>
  </r>
  <r>
    <s v="AP10048"/>
    <x v="3"/>
    <x v="46"/>
    <d v="2025-04-16T00:00:00"/>
    <n v="2307.0500000000002"/>
    <x v="1"/>
    <x v="2"/>
    <d v="2025-04-16T00:00:00"/>
    <x v="0"/>
  </r>
  <r>
    <s v="AP10049"/>
    <x v="0"/>
    <x v="47"/>
    <d v="2023-10-28T00:00:00"/>
    <n v="728.35"/>
    <x v="2"/>
    <x v="2"/>
    <d v="2023-10-28T00:00:00"/>
    <x v="0"/>
  </r>
  <r>
    <s v="AP10050"/>
    <x v="1"/>
    <x v="39"/>
    <d v="2025-06-23T00:00:00"/>
    <n v="3580.44"/>
    <x v="2"/>
    <x v="0"/>
    <s v="NA"/>
    <x v="0"/>
  </r>
  <r>
    <s v="AP10051"/>
    <x v="0"/>
    <x v="48"/>
    <d v="2024-04-30T00:00:00"/>
    <n v="1527.67"/>
    <x v="4"/>
    <x v="2"/>
    <d v="2024-04-30T00:00:00"/>
    <x v="0"/>
  </r>
  <r>
    <s v="AP10052"/>
    <x v="0"/>
    <x v="49"/>
    <d v="2023-05-23T00:00:00"/>
    <n v="3014.35"/>
    <x v="1"/>
    <x v="2"/>
    <d v="2023-05-23T00:00:00"/>
    <x v="0"/>
  </r>
  <r>
    <s v="AP10053"/>
    <x v="2"/>
    <x v="50"/>
    <d v="2023-09-23T00:00:00"/>
    <n v="3099.88"/>
    <x v="1"/>
    <x v="1"/>
    <s v="NA"/>
    <x v="0"/>
  </r>
  <r>
    <s v="AP10054"/>
    <x v="0"/>
    <x v="51"/>
    <d v="2023-06-08T00:00:00"/>
    <n v="1484.54"/>
    <x v="4"/>
    <x v="1"/>
    <s v="NA"/>
    <x v="0"/>
  </r>
  <r>
    <s v="AP10055"/>
    <x v="4"/>
    <x v="52"/>
    <d v="2024-01-18T00:00:00"/>
    <n v="2922.4"/>
    <x v="4"/>
    <x v="1"/>
    <s v="NA"/>
    <x v="0"/>
  </r>
  <r>
    <s v="AP10056"/>
    <x v="3"/>
    <x v="53"/>
    <d v="2023-12-08T00:00:00"/>
    <n v="422.98"/>
    <x v="3"/>
    <x v="2"/>
    <d v="2023-12-08T00:00:00"/>
    <x v="0"/>
  </r>
  <r>
    <s v="AP10057"/>
    <x v="0"/>
    <x v="54"/>
    <d v="2023-02-02T00:00:00"/>
    <n v="2784.23"/>
    <x v="3"/>
    <x v="1"/>
    <s v="NA"/>
    <x v="0"/>
  </r>
  <r>
    <s v="AP10058"/>
    <x v="4"/>
    <x v="55"/>
    <d v="2024-07-19T00:00:00"/>
    <n v="2946.12"/>
    <x v="1"/>
    <x v="0"/>
    <s v="NA"/>
    <x v="0"/>
  </r>
  <r>
    <s v="AP10059"/>
    <x v="0"/>
    <x v="56"/>
    <d v="2025-04-08T00:00:00"/>
    <n v="578.58000000000004"/>
    <x v="2"/>
    <x v="1"/>
    <s v="NA"/>
    <x v="0"/>
  </r>
  <r>
    <s v="AP10060"/>
    <x v="0"/>
    <x v="57"/>
    <d v="2024-06-27T00:00:00"/>
    <n v="3849.56"/>
    <x v="2"/>
    <x v="2"/>
    <d v="2024-06-27T00:00:00"/>
    <x v="0"/>
  </r>
  <r>
    <s v="AP10061"/>
    <x v="0"/>
    <x v="58"/>
    <d v="2024-05-26T00:00:00"/>
    <n v="2055.5300000000002"/>
    <x v="1"/>
    <x v="1"/>
    <s v="NA"/>
    <x v="0"/>
  </r>
  <r>
    <s v="AP10062"/>
    <x v="2"/>
    <x v="59"/>
    <d v="2023-03-26T00:00:00"/>
    <n v="2185.3200000000002"/>
    <x v="4"/>
    <x v="2"/>
    <d v="2023-03-26T00:00:00"/>
    <x v="0"/>
  </r>
  <r>
    <s v="AP10063"/>
    <x v="0"/>
    <x v="60"/>
    <d v="2025-03-17T00:00:00"/>
    <n v="3382.98"/>
    <x v="2"/>
    <x v="2"/>
    <d v="2025-03-17T00:00:00"/>
    <x v="0"/>
  </r>
  <r>
    <s v="AP10064"/>
    <x v="1"/>
    <x v="61"/>
    <d v="2024-05-22T00:00:00"/>
    <n v="3571.55"/>
    <x v="2"/>
    <x v="1"/>
    <s v="NA"/>
    <x v="0"/>
  </r>
  <r>
    <s v="AP10065"/>
    <x v="2"/>
    <x v="62"/>
    <d v="2025-05-15T00:00:00"/>
    <n v="2137.4499999999998"/>
    <x v="3"/>
    <x v="0"/>
    <s v="NA"/>
    <x v="0"/>
  </r>
  <r>
    <s v="AP10066"/>
    <x v="4"/>
    <x v="63"/>
    <d v="2025-03-11T00:00:00"/>
    <n v="3793.28"/>
    <x v="3"/>
    <x v="2"/>
    <d v="2025-03-11T00:00:00"/>
    <x v="0"/>
  </r>
  <r>
    <s v="AP10067"/>
    <x v="0"/>
    <x v="64"/>
    <d v="2025-02-02T00:00:00"/>
    <n v="2973.27"/>
    <x v="1"/>
    <x v="2"/>
    <d v="2025-02-02T00:00:00"/>
    <x v="0"/>
  </r>
  <r>
    <s v="AP10068"/>
    <x v="0"/>
    <x v="65"/>
    <d v="2024-08-23T00:00:00"/>
    <n v="4968.32"/>
    <x v="3"/>
    <x v="0"/>
    <s v="NA"/>
    <x v="0"/>
  </r>
  <r>
    <s v="AP10069"/>
    <x v="0"/>
    <x v="66"/>
    <d v="2023-03-03T00:00:00"/>
    <n v="4336.91"/>
    <x v="3"/>
    <x v="0"/>
    <s v="NA"/>
    <x v="0"/>
  </r>
  <r>
    <s v="AP10070"/>
    <x v="4"/>
    <x v="67"/>
    <d v="2025-01-02T00:00:00"/>
    <n v="2479.9499999999998"/>
    <x v="3"/>
    <x v="2"/>
    <d v="2025-01-02T00:00:00"/>
    <x v="0"/>
  </r>
  <r>
    <s v="AP10071"/>
    <x v="4"/>
    <x v="68"/>
    <d v="2025-07-13T00:00:00"/>
    <n v="2498.69"/>
    <x v="3"/>
    <x v="0"/>
    <s v="NA"/>
    <x v="0"/>
  </r>
  <r>
    <s v="AP10072"/>
    <x v="1"/>
    <x v="69"/>
    <d v="2024-12-01T00:00:00"/>
    <n v="2106.66"/>
    <x v="1"/>
    <x v="2"/>
    <d v="2024-12-01T00:00:00"/>
    <x v="0"/>
  </r>
  <r>
    <s v="AP10073"/>
    <x v="0"/>
    <x v="70"/>
    <d v="2023-07-15T00:00:00"/>
    <n v="2082.92"/>
    <x v="4"/>
    <x v="1"/>
    <s v="NA"/>
    <x v="0"/>
  </r>
  <r>
    <s v="AP10074"/>
    <x v="2"/>
    <x v="71"/>
    <d v="2023-10-18T00:00:00"/>
    <n v="3536.09"/>
    <x v="3"/>
    <x v="2"/>
    <d v="2023-10-18T00:00:00"/>
    <x v="0"/>
  </r>
  <r>
    <s v="AP10075"/>
    <x v="0"/>
    <x v="72"/>
    <d v="2025-02-03T00:00:00"/>
    <n v="3984.82"/>
    <x v="1"/>
    <x v="0"/>
    <s v="NA"/>
    <x v="0"/>
  </r>
  <r>
    <s v="AP10076"/>
    <x v="4"/>
    <x v="73"/>
    <d v="2023-06-21T00:00:00"/>
    <n v="1175.94"/>
    <x v="3"/>
    <x v="1"/>
    <s v="NA"/>
    <x v="0"/>
  </r>
  <r>
    <s v="AP10077"/>
    <x v="3"/>
    <x v="74"/>
    <d v="2024-10-21T00:00:00"/>
    <n v="1596.04"/>
    <x v="4"/>
    <x v="2"/>
    <d v="2024-10-21T00:00:00"/>
    <x v="0"/>
  </r>
  <r>
    <s v="AP10078"/>
    <x v="3"/>
    <x v="75"/>
    <d v="2024-05-19T00:00:00"/>
    <n v="1687.52"/>
    <x v="3"/>
    <x v="2"/>
    <d v="2024-05-19T00:00:00"/>
    <x v="0"/>
  </r>
  <r>
    <s v="AP10079"/>
    <x v="3"/>
    <x v="76"/>
    <d v="2023-09-22T00:00:00"/>
    <n v="1247.56"/>
    <x v="3"/>
    <x v="2"/>
    <d v="2023-09-22T00:00:00"/>
    <x v="0"/>
  </r>
  <r>
    <s v="AP10080"/>
    <x v="2"/>
    <x v="77"/>
    <d v="2025-07-03T00:00:00"/>
    <n v="3330.96"/>
    <x v="4"/>
    <x v="1"/>
    <s v="NA"/>
    <x v="0"/>
  </r>
  <r>
    <s v="AP10081"/>
    <x v="4"/>
    <x v="78"/>
    <d v="2024-10-26T00:00:00"/>
    <n v="1612.59"/>
    <x v="0"/>
    <x v="0"/>
    <s v="NA"/>
    <x v="0"/>
  </r>
  <r>
    <s v="AP10082"/>
    <x v="3"/>
    <x v="79"/>
    <d v="2024-07-15T00:00:00"/>
    <n v="1096.08"/>
    <x v="1"/>
    <x v="1"/>
    <s v="NA"/>
    <x v="0"/>
  </r>
  <r>
    <s v="AP10083"/>
    <x v="2"/>
    <x v="80"/>
    <d v="2024-06-10T00:00:00"/>
    <n v="1927.05"/>
    <x v="3"/>
    <x v="1"/>
    <s v="NA"/>
    <x v="0"/>
  </r>
  <r>
    <s v="AP10084"/>
    <x v="2"/>
    <x v="81"/>
    <d v="2023-07-05T00:00:00"/>
    <n v="1169.93"/>
    <x v="3"/>
    <x v="0"/>
    <s v="NA"/>
    <x v="0"/>
  </r>
  <r>
    <s v="AP10085"/>
    <x v="4"/>
    <x v="82"/>
    <d v="2025-07-12T00:00:00"/>
    <n v="662.31"/>
    <x v="2"/>
    <x v="0"/>
    <s v="NA"/>
    <x v="0"/>
  </r>
  <r>
    <s v="AP10086"/>
    <x v="4"/>
    <x v="83"/>
    <d v="2023-08-03T00:00:00"/>
    <n v="3443.5"/>
    <x v="1"/>
    <x v="2"/>
    <d v="2023-08-03T00:00:00"/>
    <x v="0"/>
  </r>
  <r>
    <s v="AP10087"/>
    <x v="4"/>
    <x v="84"/>
    <d v="2024-07-13T00:00:00"/>
    <n v="3290.86"/>
    <x v="1"/>
    <x v="2"/>
    <d v="2024-07-13T00:00:00"/>
    <x v="0"/>
  </r>
  <r>
    <s v="AP10088"/>
    <x v="4"/>
    <x v="85"/>
    <d v="2025-04-20T00:00:00"/>
    <n v="1872.61"/>
    <x v="0"/>
    <x v="0"/>
    <s v="NA"/>
    <x v="0"/>
  </r>
  <r>
    <s v="AP10089"/>
    <x v="4"/>
    <x v="86"/>
    <d v="2024-09-15T00:00:00"/>
    <n v="307.49"/>
    <x v="2"/>
    <x v="0"/>
    <s v="NA"/>
    <x v="0"/>
  </r>
  <r>
    <s v="AP10090"/>
    <x v="4"/>
    <x v="87"/>
    <d v="2024-05-21T00:00:00"/>
    <n v="211.08"/>
    <x v="4"/>
    <x v="1"/>
    <s v="NA"/>
    <x v="0"/>
  </r>
  <r>
    <s v="AP10091"/>
    <x v="4"/>
    <x v="88"/>
    <d v="2023-03-11T00:00:00"/>
    <n v="2052.0100000000002"/>
    <x v="0"/>
    <x v="0"/>
    <s v="NA"/>
    <x v="0"/>
  </r>
  <r>
    <s v="AP10092"/>
    <x v="4"/>
    <x v="89"/>
    <d v="2023-06-24T00:00:00"/>
    <n v="4091.87"/>
    <x v="4"/>
    <x v="0"/>
    <s v="NA"/>
    <x v="0"/>
  </r>
  <r>
    <s v="AP10093"/>
    <x v="3"/>
    <x v="90"/>
    <d v="2023-11-27T00:00:00"/>
    <n v="1321.04"/>
    <x v="4"/>
    <x v="0"/>
    <s v="NA"/>
    <x v="0"/>
  </r>
  <r>
    <s v="AP10094"/>
    <x v="0"/>
    <x v="91"/>
    <d v="2023-07-11T00:00:00"/>
    <n v="4205.21"/>
    <x v="4"/>
    <x v="2"/>
    <d v="2023-07-11T00:00:00"/>
    <x v="0"/>
  </r>
  <r>
    <s v="AP10095"/>
    <x v="1"/>
    <x v="92"/>
    <d v="2024-06-13T00:00:00"/>
    <n v="4804.12"/>
    <x v="1"/>
    <x v="0"/>
    <s v="NA"/>
    <x v="0"/>
  </r>
  <r>
    <s v="AP10096"/>
    <x v="1"/>
    <x v="93"/>
    <d v="2024-06-29T00:00:00"/>
    <n v="2179.34"/>
    <x v="3"/>
    <x v="2"/>
    <d v="2024-06-29T00:00:00"/>
    <x v="0"/>
  </r>
  <r>
    <s v="AP10097"/>
    <x v="2"/>
    <x v="94"/>
    <d v="2024-03-29T00:00:00"/>
    <n v="2918.59"/>
    <x v="1"/>
    <x v="0"/>
    <s v="NA"/>
    <x v="0"/>
  </r>
  <r>
    <s v="AP10098"/>
    <x v="3"/>
    <x v="95"/>
    <d v="2024-11-02T00:00:00"/>
    <n v="4508.92"/>
    <x v="1"/>
    <x v="2"/>
    <d v="2024-11-02T00:00:00"/>
    <x v="0"/>
  </r>
  <r>
    <s v="AP10099"/>
    <x v="0"/>
    <x v="96"/>
    <d v="2023-08-26T00:00:00"/>
    <n v="3543.69"/>
    <x v="0"/>
    <x v="1"/>
    <s v="NA"/>
    <x v="0"/>
  </r>
  <r>
    <s v="AP10100"/>
    <x v="3"/>
    <x v="97"/>
    <d v="2024-10-19T00:00:00"/>
    <n v="3606.75"/>
    <x v="4"/>
    <x v="0"/>
    <s v="NA"/>
    <x v="0"/>
  </r>
  <r>
    <s v="AP10101"/>
    <x v="3"/>
    <x v="98"/>
    <d v="2025-07-30T00:00:00"/>
    <n v="3518.19"/>
    <x v="3"/>
    <x v="1"/>
    <s v="NA"/>
    <x v="0"/>
  </r>
  <r>
    <s v="AP10102"/>
    <x v="1"/>
    <x v="21"/>
    <d v="2025-01-26T00:00:00"/>
    <n v="4853.53"/>
    <x v="1"/>
    <x v="0"/>
    <s v="NA"/>
    <x v="0"/>
  </r>
  <r>
    <s v="AP10103"/>
    <x v="0"/>
    <x v="99"/>
    <d v="2024-09-28T00:00:00"/>
    <n v="4099.79"/>
    <x v="0"/>
    <x v="1"/>
    <s v="NA"/>
    <x v="0"/>
  </r>
  <r>
    <s v="AP10104"/>
    <x v="0"/>
    <x v="66"/>
    <d v="2023-03-03T00:00:00"/>
    <n v="3167.66"/>
    <x v="1"/>
    <x v="2"/>
    <d v="2023-03-03T00:00:00"/>
    <x v="0"/>
  </r>
  <r>
    <s v="AP10105"/>
    <x v="3"/>
    <x v="100"/>
    <d v="2023-05-08T00:00:00"/>
    <n v="4646.9799999999996"/>
    <x v="0"/>
    <x v="1"/>
    <s v="NA"/>
    <x v="0"/>
  </r>
  <r>
    <s v="AP10106"/>
    <x v="4"/>
    <x v="101"/>
    <d v="2024-10-17T00:00:00"/>
    <n v="4202.6099999999997"/>
    <x v="2"/>
    <x v="0"/>
    <s v="NA"/>
    <x v="0"/>
  </r>
  <r>
    <s v="AP10107"/>
    <x v="4"/>
    <x v="102"/>
    <d v="2023-12-20T00:00:00"/>
    <n v="1491.57"/>
    <x v="0"/>
    <x v="2"/>
    <d v="2023-12-20T00:00:00"/>
    <x v="0"/>
  </r>
  <r>
    <s v="AP10108"/>
    <x v="0"/>
    <x v="103"/>
    <d v="2024-03-18T00:00:00"/>
    <n v="2302.71"/>
    <x v="3"/>
    <x v="2"/>
    <d v="2024-03-18T00:00:00"/>
    <x v="0"/>
  </r>
  <r>
    <s v="AP10109"/>
    <x v="3"/>
    <x v="104"/>
    <d v="2025-06-09T00:00:00"/>
    <n v="222.31"/>
    <x v="0"/>
    <x v="1"/>
    <s v="NA"/>
    <x v="0"/>
  </r>
  <r>
    <s v="AP10110"/>
    <x v="3"/>
    <x v="105"/>
    <d v="2024-12-25T00:00:00"/>
    <n v="1191.67"/>
    <x v="2"/>
    <x v="0"/>
    <s v="NA"/>
    <x v="0"/>
  </r>
  <r>
    <s v="AP10111"/>
    <x v="3"/>
    <x v="106"/>
    <d v="2024-01-12T00:00:00"/>
    <n v="3805.91"/>
    <x v="1"/>
    <x v="2"/>
    <d v="2024-01-12T00:00:00"/>
    <x v="0"/>
  </r>
  <r>
    <s v="AP10112"/>
    <x v="4"/>
    <x v="107"/>
    <d v="2023-05-12T00:00:00"/>
    <n v="945.2"/>
    <x v="3"/>
    <x v="1"/>
    <s v="NA"/>
    <x v="0"/>
  </r>
  <r>
    <s v="AP10113"/>
    <x v="3"/>
    <x v="108"/>
    <d v="2024-02-19T00:00:00"/>
    <n v="2517.4699999999998"/>
    <x v="1"/>
    <x v="1"/>
    <s v="NA"/>
    <x v="0"/>
  </r>
  <r>
    <s v="AP10114"/>
    <x v="4"/>
    <x v="109"/>
    <d v="2024-12-29T00:00:00"/>
    <n v="4131.71"/>
    <x v="3"/>
    <x v="1"/>
    <s v="NA"/>
    <x v="0"/>
  </r>
  <r>
    <s v="AP10115"/>
    <x v="4"/>
    <x v="110"/>
    <d v="2024-04-18T00:00:00"/>
    <n v="1116.42"/>
    <x v="1"/>
    <x v="0"/>
    <s v="NA"/>
    <x v="0"/>
  </r>
  <r>
    <s v="AP10116"/>
    <x v="4"/>
    <x v="111"/>
    <d v="2023-10-24T00:00:00"/>
    <n v="4575.2700000000004"/>
    <x v="1"/>
    <x v="0"/>
    <s v="NA"/>
    <x v="0"/>
  </r>
  <r>
    <s v="AP10117"/>
    <x v="4"/>
    <x v="112"/>
    <d v="2023-03-18T00:00:00"/>
    <n v="1514.17"/>
    <x v="1"/>
    <x v="0"/>
    <s v="NA"/>
    <x v="0"/>
  </r>
  <r>
    <s v="AP10118"/>
    <x v="0"/>
    <x v="113"/>
    <d v="2023-09-13T00:00:00"/>
    <n v="4267.03"/>
    <x v="1"/>
    <x v="0"/>
    <s v="NA"/>
    <x v="0"/>
  </r>
  <r>
    <s v="AP10119"/>
    <x v="1"/>
    <x v="114"/>
    <d v="2025-02-27T00:00:00"/>
    <n v="4482.04"/>
    <x v="2"/>
    <x v="1"/>
    <s v="NA"/>
    <x v="0"/>
  </r>
  <r>
    <s v="AP10120"/>
    <x v="4"/>
    <x v="115"/>
    <d v="2024-05-30T00:00:00"/>
    <n v="1407.76"/>
    <x v="2"/>
    <x v="2"/>
    <d v="2024-05-30T00:00:00"/>
    <x v="0"/>
  </r>
  <r>
    <s v="AP10121"/>
    <x v="2"/>
    <x v="116"/>
    <d v="2023-12-23T00:00:00"/>
    <n v="2739.91"/>
    <x v="0"/>
    <x v="0"/>
    <s v="NA"/>
    <x v="0"/>
  </r>
  <r>
    <s v="AP10122"/>
    <x v="0"/>
    <x v="117"/>
    <d v="2025-04-12T00:00:00"/>
    <n v="2094.14"/>
    <x v="2"/>
    <x v="1"/>
    <s v="NA"/>
    <x v="0"/>
  </r>
  <r>
    <s v="AP10123"/>
    <x v="4"/>
    <x v="118"/>
    <d v="2025-01-20T00:00:00"/>
    <n v="1636.17"/>
    <x v="2"/>
    <x v="0"/>
    <s v="NA"/>
    <x v="0"/>
  </r>
  <r>
    <s v="AP10124"/>
    <x v="1"/>
    <x v="119"/>
    <d v="2023-11-04T00:00:00"/>
    <n v="1052.47"/>
    <x v="4"/>
    <x v="1"/>
    <s v="NA"/>
    <x v="0"/>
  </r>
  <r>
    <s v="AP10125"/>
    <x v="1"/>
    <x v="120"/>
    <d v="2023-10-17T00:00:00"/>
    <n v="4195.09"/>
    <x v="4"/>
    <x v="0"/>
    <s v="NA"/>
    <x v="0"/>
  </r>
  <r>
    <s v="AP10126"/>
    <x v="2"/>
    <x v="121"/>
    <d v="2023-02-13T00:00:00"/>
    <n v="2545.81"/>
    <x v="3"/>
    <x v="1"/>
    <s v="NA"/>
    <x v="0"/>
  </r>
  <r>
    <s v="AP10127"/>
    <x v="3"/>
    <x v="122"/>
    <d v="2024-05-14T00:00:00"/>
    <n v="993.34"/>
    <x v="4"/>
    <x v="1"/>
    <s v="NA"/>
    <x v="0"/>
  </r>
  <r>
    <s v="AP10128"/>
    <x v="3"/>
    <x v="123"/>
    <d v="2023-07-14T00:00:00"/>
    <n v="834.51"/>
    <x v="2"/>
    <x v="1"/>
    <s v="NA"/>
    <x v="0"/>
  </r>
  <r>
    <s v="AP10129"/>
    <x v="3"/>
    <x v="124"/>
    <d v="2024-01-25T00:00:00"/>
    <n v="2107.58"/>
    <x v="3"/>
    <x v="1"/>
    <s v="NA"/>
    <x v="0"/>
  </r>
  <r>
    <s v="AP10130"/>
    <x v="4"/>
    <x v="125"/>
    <d v="2025-06-04T00:00:00"/>
    <n v="1874.69"/>
    <x v="3"/>
    <x v="0"/>
    <s v="NA"/>
    <x v="0"/>
  </r>
  <r>
    <s v="AP10131"/>
    <x v="3"/>
    <x v="126"/>
    <d v="2024-07-28T00:00:00"/>
    <n v="4388.51"/>
    <x v="0"/>
    <x v="2"/>
    <d v="2024-07-28T00:00:00"/>
    <x v="0"/>
  </r>
  <r>
    <s v="AP10132"/>
    <x v="1"/>
    <x v="127"/>
    <d v="2024-04-13T00:00:00"/>
    <n v="125.24"/>
    <x v="1"/>
    <x v="1"/>
    <s v="NA"/>
    <x v="0"/>
  </r>
  <r>
    <s v="AP10133"/>
    <x v="2"/>
    <x v="128"/>
    <d v="2024-05-10T00:00:00"/>
    <n v="1249.8900000000001"/>
    <x v="4"/>
    <x v="0"/>
    <s v="NA"/>
    <x v="0"/>
  </r>
  <r>
    <s v="AP10134"/>
    <x v="2"/>
    <x v="129"/>
    <d v="2025-01-04T00:00:00"/>
    <n v="4937.78"/>
    <x v="0"/>
    <x v="0"/>
    <s v="NA"/>
    <x v="0"/>
  </r>
  <r>
    <s v="AP10135"/>
    <x v="0"/>
    <x v="130"/>
    <d v="2024-04-29T00:00:00"/>
    <n v="2379.1799999999998"/>
    <x v="4"/>
    <x v="2"/>
    <d v="2024-04-29T00:00:00"/>
    <x v="0"/>
  </r>
  <r>
    <s v="AP10136"/>
    <x v="0"/>
    <x v="131"/>
    <d v="2024-01-04T00:00:00"/>
    <n v="4032.55"/>
    <x v="1"/>
    <x v="2"/>
    <d v="2024-01-04T00:00:00"/>
    <x v="0"/>
  </r>
  <r>
    <s v="AP10137"/>
    <x v="4"/>
    <x v="132"/>
    <d v="2024-08-20T00:00:00"/>
    <n v="3922.59"/>
    <x v="4"/>
    <x v="2"/>
    <d v="2024-08-20T00:00:00"/>
    <x v="0"/>
  </r>
  <r>
    <s v="AP10138"/>
    <x v="4"/>
    <x v="133"/>
    <d v="2023-10-05T00:00:00"/>
    <n v="3377.42"/>
    <x v="2"/>
    <x v="2"/>
    <d v="2023-10-05T00:00:00"/>
    <x v="0"/>
  </r>
  <r>
    <s v="AP10139"/>
    <x v="3"/>
    <x v="134"/>
    <d v="2025-01-11T00:00:00"/>
    <n v="3927.21"/>
    <x v="0"/>
    <x v="1"/>
    <s v="NA"/>
    <x v="0"/>
  </r>
  <r>
    <s v="AP10140"/>
    <x v="3"/>
    <x v="135"/>
    <d v="2024-05-18T00:00:00"/>
    <n v="4292.3500000000004"/>
    <x v="1"/>
    <x v="0"/>
    <s v="NA"/>
    <x v="0"/>
  </r>
  <r>
    <s v="AP10141"/>
    <x v="1"/>
    <x v="136"/>
    <d v="2025-07-19T00:00:00"/>
    <n v="3350.66"/>
    <x v="3"/>
    <x v="1"/>
    <s v="NA"/>
    <x v="0"/>
  </r>
  <r>
    <s v="AP10142"/>
    <x v="4"/>
    <x v="137"/>
    <d v="2023-06-27T00:00:00"/>
    <n v="4762.47"/>
    <x v="3"/>
    <x v="1"/>
    <s v="NA"/>
    <x v="0"/>
  </r>
  <r>
    <s v="AP10143"/>
    <x v="4"/>
    <x v="138"/>
    <d v="2023-08-31T00:00:00"/>
    <n v="1589.97"/>
    <x v="4"/>
    <x v="0"/>
    <s v="NA"/>
    <x v="0"/>
  </r>
  <r>
    <s v="AP10144"/>
    <x v="2"/>
    <x v="139"/>
    <d v="2024-07-24T00:00:00"/>
    <n v="2206.4"/>
    <x v="2"/>
    <x v="1"/>
    <s v="NA"/>
    <x v="0"/>
  </r>
  <r>
    <s v="AP10145"/>
    <x v="3"/>
    <x v="140"/>
    <d v="2023-12-28T00:00:00"/>
    <n v="2642.46"/>
    <x v="2"/>
    <x v="2"/>
    <d v="2023-12-28T00:00:00"/>
    <x v="0"/>
  </r>
  <r>
    <s v="AP10146"/>
    <x v="4"/>
    <x v="128"/>
    <d v="2024-05-10T00:00:00"/>
    <n v="2413.9"/>
    <x v="1"/>
    <x v="1"/>
    <s v="NA"/>
    <x v="0"/>
  </r>
  <r>
    <s v="AP10147"/>
    <x v="3"/>
    <x v="141"/>
    <d v="2023-09-15T00:00:00"/>
    <n v="2803.47"/>
    <x v="3"/>
    <x v="1"/>
    <s v="NA"/>
    <x v="0"/>
  </r>
  <r>
    <s v="AP10148"/>
    <x v="1"/>
    <x v="23"/>
    <d v="2023-10-30T00:00:00"/>
    <n v="3709.9"/>
    <x v="0"/>
    <x v="1"/>
    <s v="NA"/>
    <x v="0"/>
  </r>
  <r>
    <s v="AP10149"/>
    <x v="2"/>
    <x v="84"/>
    <d v="2024-07-13T00:00:00"/>
    <n v="4721.1499999999996"/>
    <x v="4"/>
    <x v="2"/>
    <d v="2024-07-13T00:00:00"/>
    <x v="0"/>
  </r>
  <r>
    <s v="AP10150"/>
    <x v="4"/>
    <x v="142"/>
    <d v="2023-09-05T00:00:00"/>
    <n v="1555.44"/>
    <x v="3"/>
    <x v="1"/>
    <s v="NA"/>
    <x v="0"/>
  </r>
  <r>
    <s v="AP10151"/>
    <x v="2"/>
    <x v="143"/>
    <d v="2024-05-08T00:00:00"/>
    <n v="2731.15"/>
    <x v="3"/>
    <x v="2"/>
    <d v="2024-05-08T00:00:00"/>
    <x v="0"/>
  </r>
  <r>
    <s v="AP10152"/>
    <x v="0"/>
    <x v="144"/>
    <d v="2024-12-26T00:00:00"/>
    <n v="3600.41"/>
    <x v="1"/>
    <x v="1"/>
    <s v="NA"/>
    <x v="0"/>
  </r>
  <r>
    <s v="AP10153"/>
    <x v="0"/>
    <x v="145"/>
    <d v="2023-04-04T00:00:00"/>
    <n v="1532.1"/>
    <x v="0"/>
    <x v="2"/>
    <d v="2023-04-04T00:00:00"/>
    <x v="0"/>
  </r>
  <r>
    <s v="AP10154"/>
    <x v="1"/>
    <x v="146"/>
    <d v="2024-08-01T00:00:00"/>
    <n v="3671.9"/>
    <x v="3"/>
    <x v="0"/>
    <s v="NA"/>
    <x v="0"/>
  </r>
  <r>
    <s v="AP10155"/>
    <x v="2"/>
    <x v="147"/>
    <d v="2024-03-24T00:00:00"/>
    <n v="249.12"/>
    <x v="3"/>
    <x v="0"/>
    <s v="NA"/>
    <x v="0"/>
  </r>
  <r>
    <s v="AP10156"/>
    <x v="3"/>
    <x v="148"/>
    <d v="2024-11-01T00:00:00"/>
    <n v="1247.49"/>
    <x v="0"/>
    <x v="1"/>
    <s v="NA"/>
    <x v="0"/>
  </r>
  <r>
    <s v="AP10157"/>
    <x v="3"/>
    <x v="15"/>
    <d v="2023-07-04T00:00:00"/>
    <n v="4374.63"/>
    <x v="3"/>
    <x v="1"/>
    <s v="NA"/>
    <x v="0"/>
  </r>
  <r>
    <s v="AP10158"/>
    <x v="3"/>
    <x v="149"/>
    <d v="2023-05-28T00:00:00"/>
    <n v="3691.12"/>
    <x v="0"/>
    <x v="1"/>
    <s v="NA"/>
    <x v="0"/>
  </r>
  <r>
    <s v="AP10159"/>
    <x v="3"/>
    <x v="150"/>
    <d v="2024-06-30T00:00:00"/>
    <n v="4217.3900000000003"/>
    <x v="4"/>
    <x v="2"/>
    <d v="2024-06-30T00:00:00"/>
    <x v="0"/>
  </r>
  <r>
    <s v="AP10160"/>
    <x v="1"/>
    <x v="119"/>
    <d v="2023-11-04T00:00:00"/>
    <n v="4642.3599999999997"/>
    <x v="1"/>
    <x v="0"/>
    <s v="NA"/>
    <x v="0"/>
  </r>
  <r>
    <s v="AP10161"/>
    <x v="0"/>
    <x v="151"/>
    <d v="2025-04-17T00:00:00"/>
    <n v="3580.35"/>
    <x v="4"/>
    <x v="1"/>
    <s v="NA"/>
    <x v="0"/>
  </r>
  <r>
    <s v="AP10162"/>
    <x v="4"/>
    <x v="152"/>
    <d v="2024-03-04T00:00:00"/>
    <n v="3588.69"/>
    <x v="4"/>
    <x v="1"/>
    <s v="NA"/>
    <x v="0"/>
  </r>
  <r>
    <s v="AP10163"/>
    <x v="4"/>
    <x v="153"/>
    <d v="2024-11-20T00:00:00"/>
    <n v="2407.4"/>
    <x v="1"/>
    <x v="1"/>
    <s v="NA"/>
    <x v="0"/>
  </r>
  <r>
    <s v="AP10164"/>
    <x v="4"/>
    <x v="154"/>
    <d v="2023-05-01T00:00:00"/>
    <n v="649.78"/>
    <x v="1"/>
    <x v="1"/>
    <s v="NA"/>
    <x v="0"/>
  </r>
  <r>
    <s v="AP10165"/>
    <x v="2"/>
    <x v="155"/>
    <d v="2024-10-14T00:00:00"/>
    <n v="143.83000000000001"/>
    <x v="1"/>
    <x v="2"/>
    <d v="2024-10-14T00:00:00"/>
    <x v="0"/>
  </r>
  <r>
    <s v="AP10166"/>
    <x v="3"/>
    <x v="156"/>
    <d v="2025-07-05T00:00:00"/>
    <n v="1041.99"/>
    <x v="3"/>
    <x v="0"/>
    <s v="NA"/>
    <x v="0"/>
  </r>
  <r>
    <s v="AP10167"/>
    <x v="0"/>
    <x v="91"/>
    <d v="2023-07-11T00:00:00"/>
    <n v="2826"/>
    <x v="1"/>
    <x v="0"/>
    <s v="NA"/>
    <x v="0"/>
  </r>
  <r>
    <s v="AP10168"/>
    <x v="0"/>
    <x v="157"/>
    <d v="2025-01-10T00:00:00"/>
    <n v="3078.5"/>
    <x v="2"/>
    <x v="2"/>
    <d v="2025-01-10T00:00:00"/>
    <x v="0"/>
  </r>
  <r>
    <s v="AP10169"/>
    <x v="1"/>
    <x v="158"/>
    <d v="2025-05-01T00:00:00"/>
    <n v="3139.88"/>
    <x v="4"/>
    <x v="1"/>
    <s v="NA"/>
    <x v="0"/>
  </r>
  <r>
    <s v="AP10170"/>
    <x v="4"/>
    <x v="159"/>
    <d v="2023-05-27T00:00:00"/>
    <n v="4899.6400000000003"/>
    <x v="4"/>
    <x v="2"/>
    <d v="2023-05-27T00:00:00"/>
    <x v="0"/>
  </r>
  <r>
    <s v="AP10171"/>
    <x v="0"/>
    <x v="160"/>
    <d v="2025-01-08T00:00:00"/>
    <n v="3205.33"/>
    <x v="3"/>
    <x v="1"/>
    <s v="NA"/>
    <x v="0"/>
  </r>
  <r>
    <s v="AP10172"/>
    <x v="2"/>
    <x v="161"/>
    <d v="2024-12-09T00:00:00"/>
    <n v="1285.77"/>
    <x v="3"/>
    <x v="1"/>
    <s v="NA"/>
    <x v="0"/>
  </r>
  <r>
    <s v="AP10173"/>
    <x v="0"/>
    <x v="162"/>
    <d v="2025-07-20T00:00:00"/>
    <n v="216.78"/>
    <x v="3"/>
    <x v="1"/>
    <s v="NA"/>
    <x v="0"/>
  </r>
  <r>
    <s v="AP10174"/>
    <x v="4"/>
    <x v="145"/>
    <d v="2023-04-04T00:00:00"/>
    <n v="4512.7700000000004"/>
    <x v="1"/>
    <x v="1"/>
    <s v="NA"/>
    <x v="0"/>
  </r>
  <r>
    <s v="AP10175"/>
    <x v="1"/>
    <x v="163"/>
    <d v="2023-12-11T00:00:00"/>
    <n v="4283.63"/>
    <x v="4"/>
    <x v="2"/>
    <d v="2023-12-11T00:00:00"/>
    <x v="0"/>
  </r>
  <r>
    <s v="AP10176"/>
    <x v="0"/>
    <x v="164"/>
    <d v="2024-10-29T00:00:00"/>
    <n v="370.46"/>
    <x v="1"/>
    <x v="2"/>
    <d v="2024-10-29T00:00:00"/>
    <x v="0"/>
  </r>
  <r>
    <s v="AP10177"/>
    <x v="3"/>
    <x v="165"/>
    <d v="2024-07-10T00:00:00"/>
    <n v="3313.07"/>
    <x v="0"/>
    <x v="0"/>
    <s v="NA"/>
    <x v="0"/>
  </r>
  <r>
    <s v="AP10178"/>
    <x v="2"/>
    <x v="116"/>
    <d v="2023-12-23T00:00:00"/>
    <n v="4616.42"/>
    <x v="3"/>
    <x v="2"/>
    <d v="2023-12-23T00:00:00"/>
    <x v="0"/>
  </r>
  <r>
    <s v="AP10179"/>
    <x v="2"/>
    <x v="166"/>
    <d v="2023-04-12T00:00:00"/>
    <n v="1731.08"/>
    <x v="3"/>
    <x v="0"/>
    <s v="NA"/>
    <x v="0"/>
  </r>
  <r>
    <s v="AP10180"/>
    <x v="0"/>
    <x v="167"/>
    <d v="2025-03-07T00:00:00"/>
    <n v="4027.83"/>
    <x v="1"/>
    <x v="1"/>
    <s v="NA"/>
    <x v="0"/>
  </r>
  <r>
    <s v="AP10181"/>
    <x v="4"/>
    <x v="168"/>
    <d v="2024-08-24T00:00:00"/>
    <n v="1770.47"/>
    <x v="1"/>
    <x v="2"/>
    <d v="2024-08-24T00:00:00"/>
    <x v="0"/>
  </r>
  <r>
    <s v="AP10182"/>
    <x v="1"/>
    <x v="6"/>
    <d v="2025-01-19T00:00:00"/>
    <n v="4140.83"/>
    <x v="0"/>
    <x v="2"/>
    <d v="2025-01-19T00:00:00"/>
    <x v="0"/>
  </r>
  <r>
    <s v="AP10183"/>
    <x v="2"/>
    <x v="169"/>
    <d v="2025-05-16T00:00:00"/>
    <n v="606.74"/>
    <x v="0"/>
    <x v="1"/>
    <s v="NA"/>
    <x v="0"/>
  </r>
  <r>
    <s v="AP10184"/>
    <x v="4"/>
    <x v="170"/>
    <d v="2023-03-06T00:00:00"/>
    <n v="3488.56"/>
    <x v="2"/>
    <x v="0"/>
    <s v="NA"/>
    <x v="0"/>
  </r>
  <r>
    <s v="AP10185"/>
    <x v="2"/>
    <x v="171"/>
    <d v="2025-07-22T00:00:00"/>
    <n v="816.61"/>
    <x v="1"/>
    <x v="0"/>
    <s v="NA"/>
    <x v="0"/>
  </r>
  <r>
    <s v="AP10186"/>
    <x v="0"/>
    <x v="172"/>
    <d v="2024-06-01T00:00:00"/>
    <n v="2178.88"/>
    <x v="2"/>
    <x v="2"/>
    <d v="2024-06-01T00:00:00"/>
    <x v="0"/>
  </r>
  <r>
    <s v="AP10187"/>
    <x v="1"/>
    <x v="52"/>
    <d v="2024-01-18T00:00:00"/>
    <n v="4356.53"/>
    <x v="3"/>
    <x v="1"/>
    <s v="NA"/>
    <x v="0"/>
  </r>
  <r>
    <s v="AP10188"/>
    <x v="0"/>
    <x v="173"/>
    <d v="2024-05-17T00:00:00"/>
    <n v="2905.63"/>
    <x v="4"/>
    <x v="0"/>
    <s v="NA"/>
    <x v="0"/>
  </r>
  <r>
    <s v="AP10189"/>
    <x v="3"/>
    <x v="172"/>
    <d v="2024-06-01T00:00:00"/>
    <n v="940.95"/>
    <x v="1"/>
    <x v="2"/>
    <d v="2024-06-01T00:00:00"/>
    <x v="0"/>
  </r>
  <r>
    <s v="AP10190"/>
    <x v="2"/>
    <x v="174"/>
    <d v="2023-03-19T00:00:00"/>
    <n v="4744.18"/>
    <x v="4"/>
    <x v="1"/>
    <s v="NA"/>
    <x v="0"/>
  </r>
  <r>
    <s v="AP10191"/>
    <x v="3"/>
    <x v="175"/>
    <d v="2025-03-24T00:00:00"/>
    <n v="147.49"/>
    <x v="4"/>
    <x v="2"/>
    <d v="2025-03-24T00:00:00"/>
    <x v="0"/>
  </r>
  <r>
    <s v="AP10192"/>
    <x v="4"/>
    <x v="176"/>
    <d v="2025-07-09T00:00:00"/>
    <n v="495.23"/>
    <x v="1"/>
    <x v="1"/>
    <s v="NA"/>
    <x v="0"/>
  </r>
  <r>
    <s v="AP10193"/>
    <x v="3"/>
    <x v="177"/>
    <d v="2023-06-29T00:00:00"/>
    <n v="2497.87"/>
    <x v="2"/>
    <x v="1"/>
    <s v="NA"/>
    <x v="0"/>
  </r>
  <r>
    <s v="AP10194"/>
    <x v="4"/>
    <x v="178"/>
    <d v="2024-07-11T00:00:00"/>
    <n v="1407.52"/>
    <x v="1"/>
    <x v="0"/>
    <s v="NA"/>
    <x v="0"/>
  </r>
  <r>
    <s v="AP10195"/>
    <x v="4"/>
    <x v="179"/>
    <d v="2025-04-06T00:00:00"/>
    <n v="2632.28"/>
    <x v="4"/>
    <x v="1"/>
    <s v="NA"/>
    <x v="0"/>
  </r>
  <r>
    <s v="AP10196"/>
    <x v="1"/>
    <x v="180"/>
    <d v="2024-05-02T00:00:00"/>
    <n v="3255.92"/>
    <x v="2"/>
    <x v="0"/>
    <s v="NA"/>
    <x v="0"/>
  </r>
  <r>
    <s v="AP10197"/>
    <x v="0"/>
    <x v="181"/>
    <d v="2023-10-21T00:00:00"/>
    <n v="392.7"/>
    <x v="3"/>
    <x v="2"/>
    <d v="2023-10-21T00:00:00"/>
    <x v="0"/>
  </r>
  <r>
    <s v="AP10198"/>
    <x v="1"/>
    <x v="182"/>
    <d v="2024-05-06T00:00:00"/>
    <n v="4366.6499999999996"/>
    <x v="3"/>
    <x v="1"/>
    <s v="NA"/>
    <x v="0"/>
  </r>
  <r>
    <s v="AP10199"/>
    <x v="4"/>
    <x v="183"/>
    <d v="2024-04-20T00:00:00"/>
    <n v="1348.94"/>
    <x v="0"/>
    <x v="2"/>
    <d v="2024-04-20T00:00:00"/>
    <x v="0"/>
  </r>
  <r>
    <s v="AP10200"/>
    <x v="3"/>
    <x v="184"/>
    <d v="2025-07-29T00:00:00"/>
    <n v="4373.5200000000004"/>
    <x v="2"/>
    <x v="0"/>
    <s v="NA"/>
    <x v="0"/>
  </r>
  <r>
    <s v="AP10201"/>
    <x v="3"/>
    <x v="185"/>
    <d v="2023-12-02T00:00:00"/>
    <n v="3414.97"/>
    <x v="3"/>
    <x v="2"/>
    <d v="2023-12-02T00:00:00"/>
    <x v="0"/>
  </r>
  <r>
    <s v="AP10202"/>
    <x v="3"/>
    <x v="186"/>
    <d v="2025-02-07T00:00:00"/>
    <n v="1646.53"/>
    <x v="1"/>
    <x v="2"/>
    <d v="2025-02-07T00:00:00"/>
    <x v="0"/>
  </r>
  <r>
    <s v="AP10203"/>
    <x v="1"/>
    <x v="187"/>
    <d v="2025-04-10T00:00:00"/>
    <n v="2688.88"/>
    <x v="0"/>
    <x v="0"/>
    <s v="NA"/>
    <x v="0"/>
  </r>
  <r>
    <s v="AP10204"/>
    <x v="2"/>
    <x v="188"/>
    <d v="2023-02-06T00:00:00"/>
    <n v="2187.09"/>
    <x v="4"/>
    <x v="1"/>
    <s v="NA"/>
    <x v="0"/>
  </r>
  <r>
    <s v="AP10205"/>
    <x v="4"/>
    <x v="189"/>
    <d v="2025-06-27T00:00:00"/>
    <n v="3171.13"/>
    <x v="3"/>
    <x v="2"/>
    <d v="2025-06-27T00:00:00"/>
    <x v="0"/>
  </r>
  <r>
    <s v="AP10206"/>
    <x v="0"/>
    <x v="190"/>
    <d v="2024-06-24T00:00:00"/>
    <n v="2235.4699999999998"/>
    <x v="0"/>
    <x v="2"/>
    <d v="2024-06-24T00:00:00"/>
    <x v="0"/>
  </r>
  <r>
    <s v="AP10207"/>
    <x v="0"/>
    <x v="191"/>
    <d v="2024-07-02T00:00:00"/>
    <n v="4392.95"/>
    <x v="3"/>
    <x v="2"/>
    <d v="2024-07-02T00:00:00"/>
    <x v="0"/>
  </r>
  <r>
    <s v="AP10208"/>
    <x v="3"/>
    <x v="119"/>
    <d v="2023-11-04T00:00:00"/>
    <n v="765.04"/>
    <x v="0"/>
    <x v="2"/>
    <d v="2023-11-04T00:00:00"/>
    <x v="0"/>
  </r>
  <r>
    <s v="AP10209"/>
    <x v="0"/>
    <x v="128"/>
    <d v="2024-05-10T00:00:00"/>
    <n v="4435.17"/>
    <x v="3"/>
    <x v="0"/>
    <s v="NA"/>
    <x v="0"/>
  </r>
  <r>
    <s v="AP10210"/>
    <x v="0"/>
    <x v="192"/>
    <d v="2023-02-21T00:00:00"/>
    <n v="2626.85"/>
    <x v="1"/>
    <x v="0"/>
    <s v="NA"/>
    <x v="0"/>
  </r>
  <r>
    <s v="AP10211"/>
    <x v="0"/>
    <x v="193"/>
    <d v="2024-07-17T00:00:00"/>
    <n v="4803.24"/>
    <x v="3"/>
    <x v="1"/>
    <s v="NA"/>
    <x v="0"/>
  </r>
  <r>
    <s v="AP10212"/>
    <x v="1"/>
    <x v="194"/>
    <d v="2024-08-22T00:00:00"/>
    <n v="3007.22"/>
    <x v="3"/>
    <x v="2"/>
    <d v="2024-08-22T00:00:00"/>
    <x v="0"/>
  </r>
  <r>
    <s v="AP10213"/>
    <x v="0"/>
    <x v="195"/>
    <d v="2025-03-18T00:00:00"/>
    <n v="4929.75"/>
    <x v="1"/>
    <x v="0"/>
    <s v="NA"/>
    <x v="0"/>
  </r>
  <r>
    <s v="AP10214"/>
    <x v="1"/>
    <x v="196"/>
    <d v="2024-07-06T00:00:00"/>
    <n v="1536.2"/>
    <x v="0"/>
    <x v="1"/>
    <s v="NA"/>
    <x v="0"/>
  </r>
  <r>
    <s v="AP10215"/>
    <x v="1"/>
    <x v="197"/>
    <d v="2024-08-17T00:00:00"/>
    <n v="2978.71"/>
    <x v="2"/>
    <x v="1"/>
    <s v="NA"/>
    <x v="0"/>
  </r>
  <r>
    <s v="AP10216"/>
    <x v="3"/>
    <x v="198"/>
    <d v="2024-03-05T00:00:00"/>
    <n v="915.17"/>
    <x v="2"/>
    <x v="2"/>
    <d v="2024-03-05T00:00:00"/>
    <x v="0"/>
  </r>
  <r>
    <s v="AP10217"/>
    <x v="1"/>
    <x v="199"/>
    <d v="2023-08-01T00:00:00"/>
    <n v="3188.52"/>
    <x v="2"/>
    <x v="1"/>
    <s v="NA"/>
    <x v="0"/>
  </r>
  <r>
    <s v="AP10218"/>
    <x v="2"/>
    <x v="200"/>
    <d v="2024-06-19T00:00:00"/>
    <n v="2307.79"/>
    <x v="3"/>
    <x v="1"/>
    <s v="NA"/>
    <x v="0"/>
  </r>
  <r>
    <s v="AP10219"/>
    <x v="2"/>
    <x v="201"/>
    <d v="2023-12-21T00:00:00"/>
    <n v="2903.71"/>
    <x v="0"/>
    <x v="1"/>
    <s v="NA"/>
    <x v="0"/>
  </r>
  <r>
    <s v="AP10220"/>
    <x v="2"/>
    <x v="200"/>
    <d v="2024-06-19T00:00:00"/>
    <n v="2565.02"/>
    <x v="3"/>
    <x v="1"/>
    <s v="NA"/>
    <x v="0"/>
  </r>
  <r>
    <s v="AP10221"/>
    <x v="1"/>
    <x v="202"/>
    <d v="2025-06-12T00:00:00"/>
    <n v="2121.21"/>
    <x v="3"/>
    <x v="0"/>
    <s v="NA"/>
    <x v="0"/>
  </r>
  <r>
    <s v="AP10222"/>
    <x v="1"/>
    <x v="158"/>
    <d v="2025-05-01T00:00:00"/>
    <n v="1273.9000000000001"/>
    <x v="0"/>
    <x v="0"/>
    <s v="NA"/>
    <x v="0"/>
  </r>
  <r>
    <s v="AP10223"/>
    <x v="1"/>
    <x v="203"/>
    <d v="2025-03-25T00:00:00"/>
    <n v="3975.5"/>
    <x v="4"/>
    <x v="0"/>
    <s v="NA"/>
    <x v="0"/>
  </r>
  <r>
    <s v="AP10224"/>
    <x v="0"/>
    <x v="204"/>
    <d v="2024-11-22T00:00:00"/>
    <n v="2421.44"/>
    <x v="4"/>
    <x v="0"/>
    <s v="NA"/>
    <x v="0"/>
  </r>
  <r>
    <s v="AP10225"/>
    <x v="0"/>
    <x v="205"/>
    <d v="2025-03-02T00:00:00"/>
    <n v="2458.0100000000002"/>
    <x v="0"/>
    <x v="0"/>
    <s v="NA"/>
    <x v="0"/>
  </r>
  <r>
    <s v="AP10226"/>
    <x v="0"/>
    <x v="206"/>
    <d v="2023-08-28T00:00:00"/>
    <n v="2854.39"/>
    <x v="0"/>
    <x v="2"/>
    <d v="2023-08-28T00:00:00"/>
    <x v="0"/>
  </r>
  <r>
    <s v="AP10227"/>
    <x v="1"/>
    <x v="207"/>
    <d v="2024-02-27T00:00:00"/>
    <n v="2918.95"/>
    <x v="0"/>
    <x v="0"/>
    <s v="NA"/>
    <x v="0"/>
  </r>
  <r>
    <s v="AP10228"/>
    <x v="3"/>
    <x v="208"/>
    <d v="2023-04-11T00:00:00"/>
    <n v="328.97"/>
    <x v="3"/>
    <x v="2"/>
    <d v="2023-04-11T00:00:00"/>
    <x v="0"/>
  </r>
  <r>
    <s v="AP10229"/>
    <x v="3"/>
    <x v="209"/>
    <d v="2024-09-18T00:00:00"/>
    <n v="1213.71"/>
    <x v="3"/>
    <x v="0"/>
    <s v="NA"/>
    <x v="0"/>
  </r>
  <r>
    <s v="AP10230"/>
    <x v="2"/>
    <x v="210"/>
    <d v="2025-05-25T00:00:00"/>
    <n v="454.59"/>
    <x v="3"/>
    <x v="0"/>
    <s v="NA"/>
    <x v="0"/>
  </r>
  <r>
    <s v="AP10231"/>
    <x v="2"/>
    <x v="211"/>
    <d v="2023-05-24T00:00:00"/>
    <n v="4278.37"/>
    <x v="1"/>
    <x v="2"/>
    <d v="2023-05-24T00:00:00"/>
    <x v="0"/>
  </r>
  <r>
    <s v="AP10232"/>
    <x v="0"/>
    <x v="212"/>
    <d v="2024-09-19T00:00:00"/>
    <n v="3048.16"/>
    <x v="3"/>
    <x v="0"/>
    <s v="NA"/>
    <x v="0"/>
  </r>
  <r>
    <s v="AP10233"/>
    <x v="3"/>
    <x v="12"/>
    <d v="2023-06-18T00:00:00"/>
    <n v="4611.88"/>
    <x v="4"/>
    <x v="1"/>
    <s v="NA"/>
    <x v="0"/>
  </r>
  <r>
    <s v="AP10234"/>
    <x v="0"/>
    <x v="213"/>
    <d v="2024-02-23T00:00:00"/>
    <n v="2206.77"/>
    <x v="3"/>
    <x v="0"/>
    <s v="NA"/>
    <x v="0"/>
  </r>
  <r>
    <s v="AP10235"/>
    <x v="0"/>
    <x v="214"/>
    <d v="2024-01-08T00:00:00"/>
    <n v="1191.52"/>
    <x v="3"/>
    <x v="2"/>
    <d v="2024-01-08T00:00:00"/>
    <x v="0"/>
  </r>
  <r>
    <s v="AP10236"/>
    <x v="0"/>
    <x v="215"/>
    <d v="2023-02-11T00:00:00"/>
    <n v="1715.9"/>
    <x v="1"/>
    <x v="1"/>
    <s v="NA"/>
    <x v="0"/>
  </r>
  <r>
    <s v="AP10237"/>
    <x v="1"/>
    <x v="216"/>
    <d v="2023-03-01T00:00:00"/>
    <n v="2281.3000000000002"/>
    <x v="2"/>
    <x v="2"/>
    <d v="2023-03-01T00:00:00"/>
    <x v="0"/>
  </r>
  <r>
    <s v="AP10238"/>
    <x v="2"/>
    <x v="217"/>
    <d v="2024-04-10T00:00:00"/>
    <n v="3825.33"/>
    <x v="2"/>
    <x v="0"/>
    <s v="NA"/>
    <x v="0"/>
  </r>
  <r>
    <s v="AP10239"/>
    <x v="2"/>
    <x v="218"/>
    <d v="2023-04-22T00:00:00"/>
    <n v="4771.6000000000004"/>
    <x v="4"/>
    <x v="1"/>
    <s v="NA"/>
    <x v="0"/>
  </r>
  <r>
    <s v="AP10240"/>
    <x v="2"/>
    <x v="219"/>
    <d v="2024-07-31T00:00:00"/>
    <n v="3536.61"/>
    <x v="3"/>
    <x v="1"/>
    <s v="NA"/>
    <x v="0"/>
  </r>
  <r>
    <s v="AP10241"/>
    <x v="4"/>
    <x v="220"/>
    <d v="2023-07-10T00:00:00"/>
    <n v="4873.4799999999996"/>
    <x v="0"/>
    <x v="2"/>
    <d v="2023-07-10T00:00:00"/>
    <x v="0"/>
  </r>
  <r>
    <s v="AP10242"/>
    <x v="0"/>
    <x v="221"/>
    <d v="2024-12-22T00:00:00"/>
    <n v="3763.83"/>
    <x v="4"/>
    <x v="1"/>
    <s v="NA"/>
    <x v="0"/>
  </r>
  <r>
    <s v="AP10243"/>
    <x v="0"/>
    <x v="222"/>
    <d v="2023-05-29T00:00:00"/>
    <n v="1956.76"/>
    <x v="1"/>
    <x v="1"/>
    <s v="NA"/>
    <x v="0"/>
  </r>
  <r>
    <s v="AP10244"/>
    <x v="0"/>
    <x v="122"/>
    <d v="2024-05-14T00:00:00"/>
    <n v="4541.03"/>
    <x v="4"/>
    <x v="1"/>
    <s v="NA"/>
    <x v="0"/>
  </r>
  <r>
    <s v="AP10245"/>
    <x v="2"/>
    <x v="223"/>
    <d v="2023-11-03T00:00:00"/>
    <n v="3118.33"/>
    <x v="3"/>
    <x v="1"/>
    <s v="NA"/>
    <x v="0"/>
  </r>
  <r>
    <s v="AP10246"/>
    <x v="2"/>
    <x v="224"/>
    <d v="2024-08-29T00:00:00"/>
    <n v="4825.22"/>
    <x v="1"/>
    <x v="2"/>
    <d v="2024-08-29T00:00:00"/>
    <x v="0"/>
  </r>
  <r>
    <s v="AP10247"/>
    <x v="4"/>
    <x v="225"/>
    <d v="2025-03-26T00:00:00"/>
    <n v="3534.62"/>
    <x v="4"/>
    <x v="1"/>
    <s v="NA"/>
    <x v="0"/>
  </r>
  <r>
    <s v="AP10248"/>
    <x v="2"/>
    <x v="226"/>
    <d v="2023-06-28T00:00:00"/>
    <n v="2784.2"/>
    <x v="2"/>
    <x v="2"/>
    <d v="2023-06-28T00:00:00"/>
    <x v="0"/>
  </r>
  <r>
    <s v="AP10249"/>
    <x v="1"/>
    <x v="227"/>
    <d v="2025-06-14T00:00:00"/>
    <n v="4703.79"/>
    <x v="4"/>
    <x v="0"/>
    <s v="NA"/>
    <x v="0"/>
  </r>
  <r>
    <s v="AP10250"/>
    <x v="4"/>
    <x v="80"/>
    <d v="2024-06-10T00:00:00"/>
    <n v="3586.26"/>
    <x v="4"/>
    <x v="0"/>
    <s v="NA"/>
    <x v="0"/>
  </r>
  <r>
    <s v="AP10251"/>
    <x v="0"/>
    <x v="228"/>
    <d v="2024-04-21T00:00:00"/>
    <n v="2609.4499999999998"/>
    <x v="3"/>
    <x v="2"/>
    <d v="2024-04-21T00:00:00"/>
    <x v="0"/>
  </r>
  <r>
    <s v="AP10252"/>
    <x v="0"/>
    <x v="229"/>
    <d v="2023-04-13T00:00:00"/>
    <n v="527.17999999999995"/>
    <x v="2"/>
    <x v="2"/>
    <d v="2023-04-13T00:00:00"/>
    <x v="0"/>
  </r>
  <r>
    <s v="AP10253"/>
    <x v="3"/>
    <x v="230"/>
    <d v="2023-07-09T00:00:00"/>
    <n v="3705.03"/>
    <x v="4"/>
    <x v="1"/>
    <s v="NA"/>
    <x v="0"/>
  </r>
  <r>
    <s v="AP10254"/>
    <x v="0"/>
    <x v="57"/>
    <d v="2024-06-27T00:00:00"/>
    <n v="1274.56"/>
    <x v="4"/>
    <x v="0"/>
    <s v="NA"/>
    <x v="0"/>
  </r>
  <r>
    <s v="AP10255"/>
    <x v="1"/>
    <x v="231"/>
    <d v="2025-07-07T00:00:00"/>
    <n v="928.12"/>
    <x v="0"/>
    <x v="2"/>
    <d v="2025-07-07T00:00:00"/>
    <x v="0"/>
  </r>
  <r>
    <s v="AP10256"/>
    <x v="4"/>
    <x v="232"/>
    <d v="2025-03-09T00:00:00"/>
    <n v="3380.41"/>
    <x v="2"/>
    <x v="1"/>
    <s v="NA"/>
    <x v="0"/>
  </r>
  <r>
    <s v="AP10257"/>
    <x v="4"/>
    <x v="233"/>
    <d v="2023-02-22T00:00:00"/>
    <n v="489.13"/>
    <x v="0"/>
    <x v="0"/>
    <s v="NA"/>
    <x v="0"/>
  </r>
  <r>
    <s v="AP10258"/>
    <x v="1"/>
    <x v="234"/>
    <d v="2023-12-07T00:00:00"/>
    <n v="2309.52"/>
    <x v="3"/>
    <x v="1"/>
    <s v="NA"/>
    <x v="0"/>
  </r>
  <r>
    <s v="AP10259"/>
    <x v="0"/>
    <x v="235"/>
    <d v="2023-09-27T00:00:00"/>
    <n v="2555.11"/>
    <x v="1"/>
    <x v="0"/>
    <s v="NA"/>
    <x v="0"/>
  </r>
  <r>
    <s v="AP10260"/>
    <x v="2"/>
    <x v="228"/>
    <d v="2024-04-21T00:00:00"/>
    <n v="3084.27"/>
    <x v="3"/>
    <x v="2"/>
    <d v="2024-04-21T00:00:00"/>
    <x v="0"/>
  </r>
  <r>
    <s v="AP10261"/>
    <x v="0"/>
    <x v="167"/>
    <d v="2025-03-07T00:00:00"/>
    <n v="2226.56"/>
    <x v="0"/>
    <x v="2"/>
    <d v="2025-03-07T00:00:00"/>
    <x v="0"/>
  </r>
  <r>
    <s v="AP10262"/>
    <x v="3"/>
    <x v="236"/>
    <d v="2024-02-24T00:00:00"/>
    <n v="1081.44"/>
    <x v="4"/>
    <x v="2"/>
    <d v="2024-02-24T00:00:00"/>
    <x v="0"/>
  </r>
  <r>
    <s v="AP10263"/>
    <x v="2"/>
    <x v="237"/>
    <d v="2023-07-12T00:00:00"/>
    <n v="985.69"/>
    <x v="3"/>
    <x v="1"/>
    <s v="NA"/>
    <x v="0"/>
  </r>
  <r>
    <s v="AP10264"/>
    <x v="0"/>
    <x v="227"/>
    <d v="2025-06-14T00:00:00"/>
    <n v="4502.04"/>
    <x v="1"/>
    <x v="1"/>
    <s v="NA"/>
    <x v="0"/>
  </r>
  <r>
    <s v="AP10265"/>
    <x v="4"/>
    <x v="238"/>
    <d v="2025-02-28T00:00:00"/>
    <n v="1415.18"/>
    <x v="2"/>
    <x v="1"/>
    <s v="NA"/>
    <x v="0"/>
  </r>
  <r>
    <s v="AP10266"/>
    <x v="3"/>
    <x v="239"/>
    <d v="2023-11-09T00:00:00"/>
    <n v="3176.41"/>
    <x v="0"/>
    <x v="0"/>
    <s v="NA"/>
    <x v="0"/>
  </r>
  <r>
    <s v="AP10267"/>
    <x v="2"/>
    <x v="240"/>
    <d v="2023-07-17T00:00:00"/>
    <n v="4887.26"/>
    <x v="3"/>
    <x v="0"/>
    <s v="NA"/>
    <x v="0"/>
  </r>
  <r>
    <s v="AP10268"/>
    <x v="3"/>
    <x v="241"/>
    <d v="2024-10-10T00:00:00"/>
    <n v="3883.76"/>
    <x v="2"/>
    <x v="1"/>
    <s v="NA"/>
    <x v="0"/>
  </r>
  <r>
    <s v="AP10269"/>
    <x v="3"/>
    <x v="82"/>
    <d v="2025-07-12T00:00:00"/>
    <n v="1284.06"/>
    <x v="1"/>
    <x v="0"/>
    <s v="NA"/>
    <x v="0"/>
  </r>
  <r>
    <s v="AP10270"/>
    <x v="3"/>
    <x v="242"/>
    <d v="2025-07-26T00:00:00"/>
    <n v="4305.1899999999996"/>
    <x v="2"/>
    <x v="2"/>
    <d v="2025-07-26T00:00:00"/>
    <x v="0"/>
  </r>
  <r>
    <s v="AP10271"/>
    <x v="3"/>
    <x v="243"/>
    <d v="2023-12-12T00:00:00"/>
    <n v="1810.33"/>
    <x v="4"/>
    <x v="0"/>
    <s v="NA"/>
    <x v="0"/>
  </r>
  <r>
    <s v="AP10272"/>
    <x v="0"/>
    <x v="228"/>
    <d v="2024-04-21T00:00:00"/>
    <n v="3741.63"/>
    <x v="0"/>
    <x v="0"/>
    <s v="NA"/>
    <x v="0"/>
  </r>
  <r>
    <s v="AP10273"/>
    <x v="1"/>
    <x v="244"/>
    <d v="2024-03-01T00:00:00"/>
    <n v="2037.12"/>
    <x v="4"/>
    <x v="2"/>
    <d v="2024-03-01T00:00:00"/>
    <x v="0"/>
  </r>
  <r>
    <s v="AP10274"/>
    <x v="1"/>
    <x v="245"/>
    <d v="2024-03-11T00:00:00"/>
    <n v="970.98"/>
    <x v="3"/>
    <x v="0"/>
    <s v="NA"/>
    <x v="0"/>
  </r>
  <r>
    <s v="AP10275"/>
    <x v="3"/>
    <x v="208"/>
    <d v="2023-04-11T00:00:00"/>
    <n v="743.53"/>
    <x v="4"/>
    <x v="2"/>
    <d v="2023-04-11T00:00:00"/>
    <x v="0"/>
  </r>
  <r>
    <s v="AP10276"/>
    <x v="2"/>
    <x v="246"/>
    <d v="2024-08-04T00:00:00"/>
    <n v="983.96"/>
    <x v="2"/>
    <x v="0"/>
    <s v="NA"/>
    <x v="0"/>
  </r>
  <r>
    <s v="AP10277"/>
    <x v="2"/>
    <x v="247"/>
    <d v="2024-09-08T00:00:00"/>
    <n v="1917.71"/>
    <x v="2"/>
    <x v="0"/>
    <s v="NA"/>
    <x v="0"/>
  </r>
  <r>
    <s v="AP10278"/>
    <x v="0"/>
    <x v="248"/>
    <d v="2024-08-13T00:00:00"/>
    <n v="1199.03"/>
    <x v="3"/>
    <x v="1"/>
    <s v="NA"/>
    <x v="0"/>
  </r>
  <r>
    <s v="AP10279"/>
    <x v="2"/>
    <x v="249"/>
    <d v="2023-06-10T00:00:00"/>
    <n v="317.85000000000002"/>
    <x v="3"/>
    <x v="2"/>
    <d v="2023-06-10T00:00:00"/>
    <x v="0"/>
  </r>
  <r>
    <s v="AP10280"/>
    <x v="1"/>
    <x v="250"/>
    <d v="2025-05-06T00:00:00"/>
    <n v="4556.93"/>
    <x v="0"/>
    <x v="1"/>
    <s v="NA"/>
    <x v="0"/>
  </r>
  <r>
    <s v="AP10281"/>
    <x v="0"/>
    <x v="251"/>
    <d v="2024-12-10T00:00:00"/>
    <n v="1600.22"/>
    <x v="2"/>
    <x v="0"/>
    <s v="NA"/>
    <x v="0"/>
  </r>
  <r>
    <s v="AP10282"/>
    <x v="1"/>
    <x v="174"/>
    <d v="2023-03-19T00:00:00"/>
    <n v="2011.23"/>
    <x v="2"/>
    <x v="0"/>
    <s v="NA"/>
    <x v="0"/>
  </r>
  <r>
    <s v="AP10283"/>
    <x v="1"/>
    <x v="252"/>
    <d v="2024-11-15T00:00:00"/>
    <n v="2093.29"/>
    <x v="1"/>
    <x v="0"/>
    <s v="NA"/>
    <x v="0"/>
  </r>
  <r>
    <s v="AP10284"/>
    <x v="4"/>
    <x v="253"/>
    <d v="2025-05-05T00:00:00"/>
    <n v="4095"/>
    <x v="1"/>
    <x v="1"/>
    <s v="NA"/>
    <x v="0"/>
  </r>
  <r>
    <s v="AP10285"/>
    <x v="0"/>
    <x v="254"/>
    <d v="2024-02-10T00:00:00"/>
    <n v="3459.29"/>
    <x v="2"/>
    <x v="1"/>
    <s v="NA"/>
    <x v="0"/>
  </r>
  <r>
    <s v="AP10286"/>
    <x v="1"/>
    <x v="255"/>
    <d v="2023-11-25T00:00:00"/>
    <n v="310.83999999999997"/>
    <x v="3"/>
    <x v="2"/>
    <d v="2023-11-25T00:00:00"/>
    <x v="0"/>
  </r>
  <r>
    <s v="AP10287"/>
    <x v="2"/>
    <x v="256"/>
    <d v="2024-10-24T00:00:00"/>
    <n v="929.39"/>
    <x v="0"/>
    <x v="1"/>
    <s v="NA"/>
    <x v="0"/>
  </r>
  <r>
    <s v="AP10288"/>
    <x v="4"/>
    <x v="257"/>
    <d v="2023-04-15T00:00:00"/>
    <n v="4087.15"/>
    <x v="3"/>
    <x v="2"/>
    <d v="2023-04-15T00:00:00"/>
    <x v="0"/>
  </r>
  <r>
    <s v="AP10289"/>
    <x v="3"/>
    <x v="258"/>
    <d v="2025-04-24T00:00:00"/>
    <n v="2351.0300000000002"/>
    <x v="1"/>
    <x v="0"/>
    <s v="NA"/>
    <x v="0"/>
  </r>
  <r>
    <s v="AP10290"/>
    <x v="4"/>
    <x v="113"/>
    <d v="2023-09-13T00:00:00"/>
    <n v="4799.5"/>
    <x v="2"/>
    <x v="2"/>
    <d v="2023-09-13T00:00:00"/>
    <x v="0"/>
  </r>
  <r>
    <s v="AP10291"/>
    <x v="4"/>
    <x v="20"/>
    <d v="2023-07-28T00:00:00"/>
    <n v="2284.77"/>
    <x v="4"/>
    <x v="0"/>
    <s v="NA"/>
    <x v="0"/>
  </r>
  <r>
    <s v="AP10292"/>
    <x v="1"/>
    <x v="259"/>
    <d v="2023-09-03T00:00:00"/>
    <n v="2951.68"/>
    <x v="4"/>
    <x v="2"/>
    <d v="2023-09-03T00:00:00"/>
    <x v="0"/>
  </r>
  <r>
    <s v="AP10293"/>
    <x v="2"/>
    <x v="260"/>
    <d v="2024-07-14T00:00:00"/>
    <n v="4227.92"/>
    <x v="4"/>
    <x v="1"/>
    <s v="NA"/>
    <x v="0"/>
  </r>
  <r>
    <s v="AP10294"/>
    <x v="4"/>
    <x v="261"/>
    <d v="2024-12-21T00:00:00"/>
    <n v="1060.77"/>
    <x v="4"/>
    <x v="2"/>
    <d v="2024-12-21T00:00:00"/>
    <x v="0"/>
  </r>
  <r>
    <s v="AP10295"/>
    <x v="0"/>
    <x v="262"/>
    <d v="2024-01-24T00:00:00"/>
    <n v="4147.42"/>
    <x v="4"/>
    <x v="1"/>
    <s v="NA"/>
    <x v="0"/>
  </r>
  <r>
    <s v="AP10296"/>
    <x v="2"/>
    <x v="263"/>
    <d v="2023-11-06T00:00:00"/>
    <n v="4406.58"/>
    <x v="2"/>
    <x v="2"/>
    <d v="2023-11-06T00:00:00"/>
    <x v="0"/>
  </r>
  <r>
    <s v="AP10297"/>
    <x v="3"/>
    <x v="264"/>
    <d v="2023-06-22T00:00:00"/>
    <n v="3855.44"/>
    <x v="1"/>
    <x v="0"/>
    <s v="NA"/>
    <x v="0"/>
  </r>
  <r>
    <s v="AP10298"/>
    <x v="2"/>
    <x v="265"/>
    <d v="2025-05-26T00:00:00"/>
    <n v="1239.49"/>
    <x v="1"/>
    <x v="0"/>
    <s v="NA"/>
    <x v="0"/>
  </r>
  <r>
    <s v="AP10299"/>
    <x v="3"/>
    <x v="266"/>
    <d v="2025-07-11T00:00:00"/>
    <n v="4842.93"/>
    <x v="4"/>
    <x v="0"/>
    <s v="NA"/>
    <x v="0"/>
  </r>
  <r>
    <s v="AP10300"/>
    <x v="0"/>
    <x v="267"/>
    <d v="2025-07-25T00:00:00"/>
    <n v="1477.77"/>
    <x v="3"/>
    <x v="0"/>
    <s v="NA"/>
    <x v="0"/>
  </r>
  <r>
    <s v="AP10301"/>
    <x v="1"/>
    <x v="268"/>
    <d v="2025-03-31T00:00:00"/>
    <n v="4772.12"/>
    <x v="3"/>
    <x v="2"/>
    <d v="2025-03-31T00:00:00"/>
    <x v="0"/>
  </r>
  <r>
    <s v="AP10302"/>
    <x v="4"/>
    <x v="269"/>
    <d v="2023-05-19T00:00:00"/>
    <n v="2860.03"/>
    <x v="4"/>
    <x v="2"/>
    <d v="2023-05-19T00:00:00"/>
    <x v="0"/>
  </r>
  <r>
    <s v="AP10303"/>
    <x v="4"/>
    <x v="36"/>
    <d v="2024-08-30T00:00:00"/>
    <n v="1886.55"/>
    <x v="4"/>
    <x v="1"/>
    <s v="NA"/>
    <x v="0"/>
  </r>
  <r>
    <s v="AP10304"/>
    <x v="0"/>
    <x v="196"/>
    <d v="2024-07-06T00:00:00"/>
    <n v="4336.49"/>
    <x v="4"/>
    <x v="0"/>
    <s v="NA"/>
    <x v="0"/>
  </r>
  <r>
    <s v="AP10305"/>
    <x v="0"/>
    <x v="270"/>
    <d v="2023-12-26T00:00:00"/>
    <n v="4046.8"/>
    <x v="3"/>
    <x v="1"/>
    <s v="NA"/>
    <x v="0"/>
  </r>
  <r>
    <s v="AP10306"/>
    <x v="0"/>
    <x v="104"/>
    <d v="2025-06-09T00:00:00"/>
    <n v="3387.6"/>
    <x v="4"/>
    <x v="2"/>
    <d v="2025-06-09T00:00:00"/>
    <x v="0"/>
  </r>
  <r>
    <s v="AP10307"/>
    <x v="3"/>
    <x v="271"/>
    <d v="2025-02-21T00:00:00"/>
    <n v="4207.8599999999997"/>
    <x v="0"/>
    <x v="0"/>
    <s v="NA"/>
    <x v="0"/>
  </r>
  <r>
    <s v="AP10308"/>
    <x v="4"/>
    <x v="272"/>
    <d v="2024-02-28T00:00:00"/>
    <n v="2784.29"/>
    <x v="1"/>
    <x v="0"/>
    <s v="NA"/>
    <x v="0"/>
  </r>
  <r>
    <s v="AP10309"/>
    <x v="4"/>
    <x v="273"/>
    <d v="2024-11-10T00:00:00"/>
    <n v="2721.22"/>
    <x v="2"/>
    <x v="1"/>
    <s v="NA"/>
    <x v="0"/>
  </r>
  <r>
    <s v="AP10310"/>
    <x v="1"/>
    <x v="274"/>
    <d v="2023-04-07T00:00:00"/>
    <n v="1741.36"/>
    <x v="1"/>
    <x v="1"/>
    <s v="NA"/>
    <x v="0"/>
  </r>
  <r>
    <s v="AP10311"/>
    <x v="4"/>
    <x v="275"/>
    <d v="2024-07-22T00:00:00"/>
    <n v="4981.4399999999996"/>
    <x v="3"/>
    <x v="2"/>
    <d v="2024-07-22T00:00:00"/>
    <x v="0"/>
  </r>
  <r>
    <s v="AP10312"/>
    <x v="2"/>
    <x v="22"/>
    <d v="2023-06-15T00:00:00"/>
    <n v="2244.6799999999998"/>
    <x v="0"/>
    <x v="0"/>
    <s v="NA"/>
    <x v="0"/>
  </r>
  <r>
    <s v="AP10313"/>
    <x v="0"/>
    <x v="148"/>
    <d v="2024-11-01T00:00:00"/>
    <n v="660.06"/>
    <x v="4"/>
    <x v="2"/>
    <d v="2024-11-01T00:00:00"/>
    <x v="0"/>
  </r>
  <r>
    <s v="AP10314"/>
    <x v="3"/>
    <x v="276"/>
    <d v="2025-04-05T00:00:00"/>
    <n v="2932.27"/>
    <x v="4"/>
    <x v="2"/>
    <d v="2025-04-05T00:00:00"/>
    <x v="0"/>
  </r>
  <r>
    <s v="AP10315"/>
    <x v="3"/>
    <x v="277"/>
    <d v="2024-09-06T00:00:00"/>
    <n v="451.25"/>
    <x v="2"/>
    <x v="0"/>
    <s v="NA"/>
    <x v="0"/>
  </r>
  <r>
    <s v="AP10316"/>
    <x v="1"/>
    <x v="98"/>
    <d v="2025-07-30T00:00:00"/>
    <n v="2665.5"/>
    <x v="1"/>
    <x v="1"/>
    <s v="NA"/>
    <x v="0"/>
  </r>
  <r>
    <s v="AP10317"/>
    <x v="0"/>
    <x v="278"/>
    <d v="2025-03-21T00:00:00"/>
    <n v="1471.82"/>
    <x v="3"/>
    <x v="0"/>
    <s v="NA"/>
    <x v="0"/>
  </r>
  <r>
    <s v="AP10318"/>
    <x v="2"/>
    <x v="279"/>
    <d v="2024-05-09T00:00:00"/>
    <n v="1830.02"/>
    <x v="2"/>
    <x v="2"/>
    <d v="2024-05-09T00:00:00"/>
    <x v="0"/>
  </r>
  <r>
    <s v="AP10319"/>
    <x v="2"/>
    <x v="280"/>
    <d v="2023-03-24T00:00:00"/>
    <n v="4995.3900000000003"/>
    <x v="1"/>
    <x v="1"/>
    <s v="NA"/>
    <x v="0"/>
  </r>
  <r>
    <s v="AP10320"/>
    <x v="2"/>
    <x v="73"/>
    <d v="2023-06-21T00:00:00"/>
    <n v="4822.93"/>
    <x v="4"/>
    <x v="1"/>
    <s v="NA"/>
    <x v="0"/>
  </r>
  <r>
    <s v="AP10321"/>
    <x v="0"/>
    <x v="281"/>
    <d v="2023-02-01T00:00:00"/>
    <n v="1174.97"/>
    <x v="3"/>
    <x v="2"/>
    <d v="2023-02-01T00:00:00"/>
    <x v="0"/>
  </r>
  <r>
    <s v="AP10322"/>
    <x v="3"/>
    <x v="282"/>
    <d v="2024-05-05T00:00:00"/>
    <n v="1018.67"/>
    <x v="0"/>
    <x v="1"/>
    <s v="NA"/>
    <x v="0"/>
  </r>
  <r>
    <s v="AP10323"/>
    <x v="4"/>
    <x v="283"/>
    <d v="2024-09-23T00:00:00"/>
    <n v="525.23"/>
    <x v="4"/>
    <x v="0"/>
    <s v="NA"/>
    <x v="0"/>
  </r>
  <r>
    <s v="AP10324"/>
    <x v="4"/>
    <x v="284"/>
    <d v="2023-04-28T00:00:00"/>
    <n v="4607.07"/>
    <x v="3"/>
    <x v="0"/>
    <s v="NA"/>
    <x v="0"/>
  </r>
  <r>
    <s v="AP10325"/>
    <x v="0"/>
    <x v="285"/>
    <d v="2023-06-07T00:00:00"/>
    <n v="2792.15"/>
    <x v="1"/>
    <x v="2"/>
    <d v="2023-06-07T00:00:00"/>
    <x v="0"/>
  </r>
  <r>
    <s v="AP10326"/>
    <x v="0"/>
    <x v="277"/>
    <d v="2024-09-06T00:00:00"/>
    <n v="3719.04"/>
    <x v="2"/>
    <x v="0"/>
    <s v="NA"/>
    <x v="0"/>
  </r>
  <r>
    <s v="AP10327"/>
    <x v="1"/>
    <x v="273"/>
    <d v="2024-11-10T00:00:00"/>
    <n v="4169.05"/>
    <x v="0"/>
    <x v="2"/>
    <d v="2024-11-10T00:00:00"/>
    <x v="0"/>
  </r>
  <r>
    <s v="AP10328"/>
    <x v="3"/>
    <x v="286"/>
    <d v="2025-01-16T00:00:00"/>
    <n v="1405.35"/>
    <x v="4"/>
    <x v="0"/>
    <s v="NA"/>
    <x v="0"/>
  </r>
  <r>
    <s v="AP10329"/>
    <x v="3"/>
    <x v="75"/>
    <d v="2024-05-19T00:00:00"/>
    <n v="4512.4399999999996"/>
    <x v="4"/>
    <x v="1"/>
    <s v="NA"/>
    <x v="0"/>
  </r>
  <r>
    <s v="AP10330"/>
    <x v="2"/>
    <x v="287"/>
    <d v="2024-05-13T00:00:00"/>
    <n v="1855.47"/>
    <x v="0"/>
    <x v="0"/>
    <s v="NA"/>
    <x v="0"/>
  </r>
  <r>
    <s v="AP10331"/>
    <x v="1"/>
    <x v="288"/>
    <d v="2025-01-06T00:00:00"/>
    <n v="1596.9"/>
    <x v="1"/>
    <x v="2"/>
    <d v="2025-01-06T00:00:00"/>
    <x v="0"/>
  </r>
  <r>
    <s v="AP10332"/>
    <x v="1"/>
    <x v="233"/>
    <d v="2023-02-22T00:00:00"/>
    <n v="176.54"/>
    <x v="1"/>
    <x v="2"/>
    <d v="2023-02-22T00:00:00"/>
    <x v="0"/>
  </r>
  <r>
    <s v="AP10333"/>
    <x v="2"/>
    <x v="289"/>
    <d v="2025-03-19T00:00:00"/>
    <n v="1225.82"/>
    <x v="1"/>
    <x v="0"/>
    <s v="NA"/>
    <x v="0"/>
  </r>
  <r>
    <s v="AP10334"/>
    <x v="0"/>
    <x v="290"/>
    <d v="2024-02-29T00:00:00"/>
    <n v="355.21"/>
    <x v="1"/>
    <x v="0"/>
    <s v="NA"/>
    <x v="0"/>
  </r>
  <r>
    <s v="AP10335"/>
    <x v="3"/>
    <x v="291"/>
    <d v="2025-04-19T00:00:00"/>
    <n v="4628.8599999999997"/>
    <x v="0"/>
    <x v="2"/>
    <d v="2025-04-19T00:00:00"/>
    <x v="0"/>
  </r>
  <r>
    <s v="AP10336"/>
    <x v="4"/>
    <x v="292"/>
    <d v="2024-01-07T00:00:00"/>
    <n v="2845.8"/>
    <x v="0"/>
    <x v="1"/>
    <s v="NA"/>
    <x v="0"/>
  </r>
  <r>
    <s v="AP10337"/>
    <x v="2"/>
    <x v="293"/>
    <d v="2025-07-02T00:00:00"/>
    <n v="1566.29"/>
    <x v="0"/>
    <x v="0"/>
    <s v="NA"/>
    <x v="0"/>
  </r>
  <r>
    <s v="AP10338"/>
    <x v="3"/>
    <x v="294"/>
    <d v="2023-12-05T00:00:00"/>
    <n v="4917.53"/>
    <x v="0"/>
    <x v="2"/>
    <d v="2023-12-05T00:00:00"/>
    <x v="0"/>
  </r>
  <r>
    <s v="AP10339"/>
    <x v="4"/>
    <x v="295"/>
    <d v="2024-01-21T00:00:00"/>
    <n v="2748.45"/>
    <x v="2"/>
    <x v="0"/>
    <s v="NA"/>
    <x v="0"/>
  </r>
  <r>
    <s v="AP10340"/>
    <x v="3"/>
    <x v="296"/>
    <d v="2025-02-14T00:00:00"/>
    <n v="2910.56"/>
    <x v="4"/>
    <x v="2"/>
    <d v="2025-02-14T00:00:00"/>
    <x v="0"/>
  </r>
  <r>
    <s v="AP10341"/>
    <x v="2"/>
    <x v="297"/>
    <d v="2025-07-23T00:00:00"/>
    <n v="728.89"/>
    <x v="3"/>
    <x v="1"/>
    <s v="NA"/>
    <x v="0"/>
  </r>
  <r>
    <s v="AP10342"/>
    <x v="0"/>
    <x v="59"/>
    <d v="2023-03-26T00:00:00"/>
    <n v="1790.61"/>
    <x v="3"/>
    <x v="1"/>
    <s v="NA"/>
    <x v="0"/>
  </r>
  <r>
    <s v="AP10343"/>
    <x v="3"/>
    <x v="298"/>
    <d v="2024-04-06T00:00:00"/>
    <n v="3085.28"/>
    <x v="2"/>
    <x v="2"/>
    <d v="2024-04-06T00:00:00"/>
    <x v="0"/>
  </r>
  <r>
    <s v="AP10344"/>
    <x v="1"/>
    <x v="141"/>
    <d v="2023-09-15T00:00:00"/>
    <n v="899.5"/>
    <x v="2"/>
    <x v="0"/>
    <s v="NA"/>
    <x v="0"/>
  </r>
  <r>
    <s v="AP10345"/>
    <x v="3"/>
    <x v="299"/>
    <d v="2023-02-10T00:00:00"/>
    <n v="1797.02"/>
    <x v="3"/>
    <x v="0"/>
    <s v="NA"/>
    <x v="0"/>
  </r>
  <r>
    <s v="AP10346"/>
    <x v="2"/>
    <x v="300"/>
    <d v="2023-09-30T00:00:00"/>
    <n v="4901.42"/>
    <x v="1"/>
    <x v="0"/>
    <s v="NA"/>
    <x v="0"/>
  </r>
  <r>
    <s v="AP10347"/>
    <x v="3"/>
    <x v="301"/>
    <d v="2023-03-07T00:00:00"/>
    <n v="4612.1400000000003"/>
    <x v="2"/>
    <x v="2"/>
    <d v="2023-03-07T00:00:00"/>
    <x v="0"/>
  </r>
  <r>
    <s v="AP10348"/>
    <x v="0"/>
    <x v="302"/>
    <d v="2024-07-09T00:00:00"/>
    <n v="3151.2"/>
    <x v="1"/>
    <x v="1"/>
    <s v="NA"/>
    <x v="0"/>
  </r>
  <r>
    <s v="AP10349"/>
    <x v="3"/>
    <x v="183"/>
    <d v="2024-04-20T00:00:00"/>
    <n v="4219.03"/>
    <x v="4"/>
    <x v="2"/>
    <d v="2024-04-20T00:00:00"/>
    <x v="0"/>
  </r>
  <r>
    <s v="AP10350"/>
    <x v="2"/>
    <x v="106"/>
    <d v="2024-01-12T00:00:00"/>
    <n v="4971.99"/>
    <x v="0"/>
    <x v="0"/>
    <s v="NA"/>
    <x v="0"/>
  </r>
  <r>
    <s v="AP10351"/>
    <x v="1"/>
    <x v="303"/>
    <d v="2024-01-20T00:00:00"/>
    <n v="3366.62"/>
    <x v="2"/>
    <x v="2"/>
    <d v="2024-01-20T00:00:00"/>
    <x v="0"/>
  </r>
  <r>
    <s v="AP10352"/>
    <x v="4"/>
    <x v="304"/>
    <d v="2025-04-18T00:00:00"/>
    <n v="499.9"/>
    <x v="1"/>
    <x v="2"/>
    <d v="2025-04-18T00:00:00"/>
    <x v="0"/>
  </r>
  <r>
    <s v="AP10353"/>
    <x v="1"/>
    <x v="47"/>
    <d v="2023-10-28T00:00:00"/>
    <n v="4834.01"/>
    <x v="2"/>
    <x v="2"/>
    <d v="2023-10-28T00:00:00"/>
    <x v="0"/>
  </r>
  <r>
    <s v="AP10354"/>
    <x v="4"/>
    <x v="305"/>
    <d v="2023-05-11T00:00:00"/>
    <n v="1132.31"/>
    <x v="3"/>
    <x v="1"/>
    <s v="NA"/>
    <x v="0"/>
  </r>
  <r>
    <s v="AP10355"/>
    <x v="4"/>
    <x v="306"/>
    <d v="2025-06-19T00:00:00"/>
    <n v="239.21"/>
    <x v="0"/>
    <x v="1"/>
    <s v="NA"/>
    <x v="0"/>
  </r>
  <r>
    <s v="AP10356"/>
    <x v="0"/>
    <x v="181"/>
    <d v="2023-10-21T00:00:00"/>
    <n v="1990.65"/>
    <x v="0"/>
    <x v="0"/>
    <s v="NA"/>
    <x v="0"/>
  </r>
  <r>
    <s v="AP10357"/>
    <x v="0"/>
    <x v="307"/>
    <d v="2023-09-21T00:00:00"/>
    <n v="4029.65"/>
    <x v="1"/>
    <x v="2"/>
    <d v="2023-09-21T00:00:00"/>
    <x v="0"/>
  </r>
  <r>
    <s v="AP10358"/>
    <x v="1"/>
    <x v="241"/>
    <d v="2024-10-10T00:00:00"/>
    <n v="1667.66"/>
    <x v="4"/>
    <x v="0"/>
    <s v="NA"/>
    <x v="0"/>
  </r>
  <r>
    <s v="AP10359"/>
    <x v="1"/>
    <x v="152"/>
    <d v="2024-03-04T00:00:00"/>
    <n v="687.7"/>
    <x v="4"/>
    <x v="0"/>
    <s v="NA"/>
    <x v="0"/>
  </r>
  <r>
    <s v="AP10360"/>
    <x v="3"/>
    <x v="133"/>
    <d v="2023-10-05T00:00:00"/>
    <n v="1555.59"/>
    <x v="3"/>
    <x v="2"/>
    <d v="2023-10-05T00:00:00"/>
    <x v="0"/>
  </r>
  <r>
    <s v="AP10361"/>
    <x v="0"/>
    <x v="308"/>
    <d v="2024-02-06T00:00:00"/>
    <n v="937.69"/>
    <x v="4"/>
    <x v="2"/>
    <d v="2024-02-06T00:00:00"/>
    <x v="0"/>
  </r>
  <r>
    <s v="AP10362"/>
    <x v="2"/>
    <x v="309"/>
    <d v="2024-02-15T00:00:00"/>
    <n v="2005.72"/>
    <x v="3"/>
    <x v="2"/>
    <d v="2024-02-15T00:00:00"/>
    <x v="0"/>
  </r>
  <r>
    <s v="AP10363"/>
    <x v="0"/>
    <x v="310"/>
    <d v="2024-02-14T00:00:00"/>
    <n v="4353.25"/>
    <x v="1"/>
    <x v="2"/>
    <d v="2024-02-14T00:00:00"/>
    <x v="0"/>
  </r>
  <r>
    <s v="AP10364"/>
    <x v="0"/>
    <x v="21"/>
    <d v="2025-01-26T00:00:00"/>
    <n v="2122.23"/>
    <x v="4"/>
    <x v="0"/>
    <s v="NA"/>
    <x v="0"/>
  </r>
  <r>
    <s v="AP10365"/>
    <x v="4"/>
    <x v="311"/>
    <d v="2025-05-09T00:00:00"/>
    <n v="3957.87"/>
    <x v="1"/>
    <x v="1"/>
    <s v="NA"/>
    <x v="0"/>
  </r>
  <r>
    <s v="AP10366"/>
    <x v="0"/>
    <x v="312"/>
    <d v="2024-08-21T00:00:00"/>
    <n v="3266.74"/>
    <x v="4"/>
    <x v="1"/>
    <s v="NA"/>
    <x v="0"/>
  </r>
  <r>
    <s v="AP10367"/>
    <x v="4"/>
    <x v="313"/>
    <d v="2024-05-29T00:00:00"/>
    <n v="4729.29"/>
    <x v="4"/>
    <x v="1"/>
    <s v="NA"/>
    <x v="0"/>
  </r>
  <r>
    <s v="AP10368"/>
    <x v="2"/>
    <x v="314"/>
    <d v="2025-04-14T00:00:00"/>
    <n v="1404.93"/>
    <x v="4"/>
    <x v="1"/>
    <s v="NA"/>
    <x v="0"/>
  </r>
  <r>
    <s v="AP10369"/>
    <x v="4"/>
    <x v="129"/>
    <d v="2025-01-04T00:00:00"/>
    <n v="2397.5100000000002"/>
    <x v="1"/>
    <x v="1"/>
    <s v="NA"/>
    <x v="0"/>
  </r>
  <r>
    <s v="AP10370"/>
    <x v="4"/>
    <x v="315"/>
    <d v="2023-04-19T00:00:00"/>
    <n v="3324.14"/>
    <x v="4"/>
    <x v="2"/>
    <d v="2023-04-19T00:00:00"/>
    <x v="0"/>
  </r>
  <r>
    <s v="AP10371"/>
    <x v="3"/>
    <x v="316"/>
    <d v="2024-01-29T00:00:00"/>
    <n v="4000.08"/>
    <x v="2"/>
    <x v="0"/>
    <s v="NA"/>
    <x v="0"/>
  </r>
  <r>
    <s v="AP10372"/>
    <x v="3"/>
    <x v="317"/>
    <d v="2025-06-10T00:00:00"/>
    <n v="692.78"/>
    <x v="0"/>
    <x v="2"/>
    <d v="2025-06-10T00:00:00"/>
    <x v="0"/>
  </r>
  <r>
    <s v="AP10373"/>
    <x v="2"/>
    <x v="318"/>
    <d v="2023-06-19T00:00:00"/>
    <n v="485.69"/>
    <x v="0"/>
    <x v="1"/>
    <s v="NA"/>
    <x v="0"/>
  </r>
  <r>
    <s v="AP10374"/>
    <x v="4"/>
    <x v="319"/>
    <d v="2023-09-29T00:00:00"/>
    <n v="2956.85"/>
    <x v="0"/>
    <x v="2"/>
    <d v="2023-09-29T00:00:00"/>
    <x v="0"/>
  </r>
  <r>
    <s v="AP10375"/>
    <x v="1"/>
    <x v="320"/>
    <d v="2023-12-03T00:00:00"/>
    <n v="2455.2600000000002"/>
    <x v="1"/>
    <x v="1"/>
    <s v="NA"/>
    <x v="0"/>
  </r>
  <r>
    <s v="AP10376"/>
    <x v="2"/>
    <x v="66"/>
    <d v="2023-03-03T00:00:00"/>
    <n v="852.36"/>
    <x v="1"/>
    <x v="2"/>
    <d v="2023-03-03T00:00:00"/>
    <x v="0"/>
  </r>
  <r>
    <s v="AP10377"/>
    <x v="4"/>
    <x v="321"/>
    <d v="2023-08-21T00:00:00"/>
    <n v="4885.47"/>
    <x v="0"/>
    <x v="1"/>
    <s v="NA"/>
    <x v="0"/>
  </r>
  <r>
    <s v="AP10378"/>
    <x v="4"/>
    <x v="322"/>
    <d v="2024-09-16T00:00:00"/>
    <n v="3332.33"/>
    <x v="3"/>
    <x v="0"/>
    <s v="NA"/>
    <x v="0"/>
  </r>
  <r>
    <s v="AP10379"/>
    <x v="4"/>
    <x v="323"/>
    <d v="2023-10-01T00:00:00"/>
    <n v="431.39"/>
    <x v="3"/>
    <x v="2"/>
    <d v="2023-10-01T00:00:00"/>
    <x v="0"/>
  </r>
  <r>
    <s v="AP10380"/>
    <x v="0"/>
    <x v="324"/>
    <d v="2024-04-11T00:00:00"/>
    <n v="2201.16"/>
    <x v="2"/>
    <x v="0"/>
    <s v="NA"/>
    <x v="0"/>
  </r>
  <r>
    <s v="AP10381"/>
    <x v="3"/>
    <x v="101"/>
    <d v="2024-10-17T00:00:00"/>
    <n v="726.32"/>
    <x v="2"/>
    <x v="2"/>
    <d v="2024-10-17T00:00:00"/>
    <x v="0"/>
  </r>
  <r>
    <s v="AP10382"/>
    <x v="4"/>
    <x v="325"/>
    <d v="2024-03-08T00:00:00"/>
    <n v="4541.1000000000004"/>
    <x v="4"/>
    <x v="1"/>
    <s v="NA"/>
    <x v="0"/>
  </r>
  <r>
    <s v="AP10383"/>
    <x v="1"/>
    <x v="306"/>
    <d v="2025-06-19T00:00:00"/>
    <n v="249.48"/>
    <x v="1"/>
    <x v="2"/>
    <d v="2025-06-19T00:00:00"/>
    <x v="0"/>
  </r>
  <r>
    <s v="AP10384"/>
    <x v="0"/>
    <x v="326"/>
    <d v="2024-01-23T00:00:00"/>
    <n v="3005.5"/>
    <x v="0"/>
    <x v="0"/>
    <s v="NA"/>
    <x v="0"/>
  </r>
  <r>
    <s v="AP10385"/>
    <x v="4"/>
    <x v="327"/>
    <d v="2023-02-03T00:00:00"/>
    <n v="1857.96"/>
    <x v="0"/>
    <x v="2"/>
    <d v="2023-02-03T00:00:00"/>
    <x v="0"/>
  </r>
  <r>
    <s v="AP10386"/>
    <x v="4"/>
    <x v="328"/>
    <d v="2024-12-20T00:00:00"/>
    <n v="915.02"/>
    <x v="4"/>
    <x v="0"/>
    <s v="NA"/>
    <x v="0"/>
  </r>
  <r>
    <s v="AP10387"/>
    <x v="0"/>
    <x v="329"/>
    <d v="2024-08-06T00:00:00"/>
    <n v="4101.55"/>
    <x v="2"/>
    <x v="0"/>
    <s v="NA"/>
    <x v="0"/>
  </r>
  <r>
    <s v="AP10388"/>
    <x v="3"/>
    <x v="330"/>
    <d v="2024-01-11T00:00:00"/>
    <n v="4184.6499999999996"/>
    <x v="0"/>
    <x v="1"/>
    <s v="NA"/>
    <x v="0"/>
  </r>
  <r>
    <s v="AP10389"/>
    <x v="2"/>
    <x v="58"/>
    <d v="2024-05-26T00:00:00"/>
    <n v="4769.93"/>
    <x v="1"/>
    <x v="0"/>
    <s v="NA"/>
    <x v="0"/>
  </r>
  <r>
    <s v="AP10390"/>
    <x v="3"/>
    <x v="282"/>
    <d v="2024-05-05T00:00:00"/>
    <n v="3082.55"/>
    <x v="4"/>
    <x v="1"/>
    <s v="NA"/>
    <x v="0"/>
  </r>
  <r>
    <s v="AP10391"/>
    <x v="1"/>
    <x v="234"/>
    <d v="2023-12-07T00:00:00"/>
    <n v="4720.7700000000004"/>
    <x v="3"/>
    <x v="2"/>
    <d v="2023-12-07T00:00:00"/>
    <x v="0"/>
  </r>
  <r>
    <s v="AP10392"/>
    <x v="1"/>
    <x v="331"/>
    <d v="2024-06-23T00:00:00"/>
    <n v="4645.08"/>
    <x v="4"/>
    <x v="0"/>
    <s v="NA"/>
    <x v="0"/>
  </r>
  <r>
    <s v="AP10393"/>
    <x v="1"/>
    <x v="332"/>
    <d v="2024-07-21T00:00:00"/>
    <n v="2488.5"/>
    <x v="3"/>
    <x v="0"/>
    <s v="NA"/>
    <x v="0"/>
  </r>
  <r>
    <s v="AP10394"/>
    <x v="3"/>
    <x v="333"/>
    <d v="2024-02-16T00:00:00"/>
    <n v="4687.1499999999996"/>
    <x v="1"/>
    <x v="1"/>
    <s v="NA"/>
    <x v="0"/>
  </r>
  <r>
    <s v="AP10395"/>
    <x v="3"/>
    <x v="90"/>
    <d v="2023-11-27T00:00:00"/>
    <n v="3299.79"/>
    <x v="3"/>
    <x v="0"/>
    <s v="NA"/>
    <x v="0"/>
  </r>
  <r>
    <s v="AP10396"/>
    <x v="1"/>
    <x v="334"/>
    <d v="2024-10-06T00:00:00"/>
    <n v="1150.1099999999999"/>
    <x v="2"/>
    <x v="2"/>
    <d v="2024-10-06T00:00:00"/>
    <x v="0"/>
  </r>
  <r>
    <s v="AP10397"/>
    <x v="3"/>
    <x v="325"/>
    <d v="2024-03-08T00:00:00"/>
    <n v="1440.98"/>
    <x v="1"/>
    <x v="0"/>
    <s v="NA"/>
    <x v="0"/>
  </r>
  <r>
    <s v="AP10398"/>
    <x v="2"/>
    <x v="335"/>
    <d v="2023-04-26T00:00:00"/>
    <n v="4705.1499999999996"/>
    <x v="4"/>
    <x v="2"/>
    <d v="2023-04-26T00:00:00"/>
    <x v="0"/>
  </r>
  <r>
    <s v="AP10399"/>
    <x v="4"/>
    <x v="230"/>
    <d v="2023-07-09T00:00:00"/>
    <n v="4226.8900000000003"/>
    <x v="4"/>
    <x v="2"/>
    <d v="2023-07-09T00:00:00"/>
    <x v="0"/>
  </r>
  <r>
    <s v="AP10400"/>
    <x v="3"/>
    <x v="336"/>
    <d v="2025-05-29T00:00:00"/>
    <n v="4706.16"/>
    <x v="2"/>
    <x v="2"/>
    <d v="2025-05-29T00:00:00"/>
    <x v="0"/>
  </r>
  <r>
    <s v="AP10401"/>
    <x v="3"/>
    <x v="337"/>
    <d v="2023-09-06T00:00:00"/>
    <n v="4149.5200000000004"/>
    <x v="3"/>
    <x v="2"/>
    <d v="2023-09-06T00:00:00"/>
    <x v="0"/>
  </r>
  <r>
    <s v="AP10402"/>
    <x v="1"/>
    <x v="124"/>
    <d v="2024-01-25T00:00:00"/>
    <n v="1586.89"/>
    <x v="0"/>
    <x v="1"/>
    <s v="NA"/>
    <x v="0"/>
  </r>
  <r>
    <s v="AP10403"/>
    <x v="0"/>
    <x v="338"/>
    <d v="2025-05-10T00:00:00"/>
    <n v="2473.2600000000002"/>
    <x v="3"/>
    <x v="0"/>
    <s v="NA"/>
    <x v="0"/>
  </r>
  <r>
    <s v="AP10404"/>
    <x v="0"/>
    <x v="339"/>
    <d v="2024-11-11T00:00:00"/>
    <n v="3115.36"/>
    <x v="2"/>
    <x v="0"/>
    <s v="NA"/>
    <x v="0"/>
  </r>
  <r>
    <s v="AP10405"/>
    <x v="3"/>
    <x v="340"/>
    <d v="2025-05-28T00:00:00"/>
    <n v="2243.81"/>
    <x v="4"/>
    <x v="2"/>
    <d v="2025-05-28T00:00:00"/>
    <x v="0"/>
  </r>
  <r>
    <s v="AP10406"/>
    <x v="1"/>
    <x v="117"/>
    <d v="2025-04-12T00:00:00"/>
    <n v="2764.23"/>
    <x v="2"/>
    <x v="1"/>
    <s v="NA"/>
    <x v="0"/>
  </r>
  <r>
    <s v="AP10407"/>
    <x v="4"/>
    <x v="124"/>
    <d v="2024-01-25T00:00:00"/>
    <n v="4219.16"/>
    <x v="3"/>
    <x v="1"/>
    <s v="NA"/>
    <x v="0"/>
  </r>
  <r>
    <s v="AP10408"/>
    <x v="3"/>
    <x v="1"/>
    <d v="2024-06-17T00:00:00"/>
    <n v="2719.44"/>
    <x v="1"/>
    <x v="0"/>
    <s v="NA"/>
    <x v="0"/>
  </r>
  <r>
    <s v="AP10409"/>
    <x v="4"/>
    <x v="261"/>
    <d v="2024-12-21T00:00:00"/>
    <n v="3651.79"/>
    <x v="1"/>
    <x v="1"/>
    <s v="NA"/>
    <x v="0"/>
  </r>
  <r>
    <s v="AP10410"/>
    <x v="3"/>
    <x v="298"/>
    <d v="2024-04-06T00:00:00"/>
    <n v="1247.3"/>
    <x v="4"/>
    <x v="2"/>
    <d v="2024-04-06T00:00:00"/>
    <x v="0"/>
  </r>
  <r>
    <s v="AP10411"/>
    <x v="4"/>
    <x v="153"/>
    <d v="2024-11-20T00:00:00"/>
    <n v="1665.2"/>
    <x v="4"/>
    <x v="0"/>
    <s v="NA"/>
    <x v="0"/>
  </r>
  <r>
    <s v="AP10412"/>
    <x v="0"/>
    <x v="341"/>
    <d v="2025-05-22T00:00:00"/>
    <n v="4157.1000000000004"/>
    <x v="2"/>
    <x v="1"/>
    <s v="NA"/>
    <x v="0"/>
  </r>
  <r>
    <s v="AP10413"/>
    <x v="3"/>
    <x v="342"/>
    <d v="2023-07-01T00:00:00"/>
    <n v="4306.1000000000004"/>
    <x v="1"/>
    <x v="1"/>
    <s v="NA"/>
    <x v="0"/>
  </r>
  <r>
    <s v="AP10414"/>
    <x v="2"/>
    <x v="155"/>
    <d v="2024-10-14T00:00:00"/>
    <n v="432.27"/>
    <x v="4"/>
    <x v="2"/>
    <d v="2024-10-14T00:00:00"/>
    <x v="0"/>
  </r>
  <r>
    <s v="AP10415"/>
    <x v="0"/>
    <x v="343"/>
    <d v="2023-12-30T00:00:00"/>
    <n v="2075.2199999999998"/>
    <x v="4"/>
    <x v="1"/>
    <s v="NA"/>
    <x v="0"/>
  </r>
  <r>
    <s v="AP10416"/>
    <x v="3"/>
    <x v="344"/>
    <d v="2023-03-14T00:00:00"/>
    <n v="2515.5700000000002"/>
    <x v="2"/>
    <x v="0"/>
    <s v="NA"/>
    <x v="0"/>
  </r>
  <r>
    <s v="AP10417"/>
    <x v="3"/>
    <x v="131"/>
    <d v="2024-01-04T00:00:00"/>
    <n v="1960.15"/>
    <x v="3"/>
    <x v="1"/>
    <s v="NA"/>
    <x v="0"/>
  </r>
  <r>
    <s v="AP10418"/>
    <x v="2"/>
    <x v="345"/>
    <d v="2023-08-23T00:00:00"/>
    <n v="3168.02"/>
    <x v="4"/>
    <x v="1"/>
    <s v="NA"/>
    <x v="0"/>
  </r>
  <r>
    <s v="AP10419"/>
    <x v="4"/>
    <x v="346"/>
    <d v="2023-06-30T00:00:00"/>
    <n v="576.42999999999995"/>
    <x v="3"/>
    <x v="2"/>
    <d v="2023-06-30T00:00:00"/>
    <x v="0"/>
  </r>
  <r>
    <s v="AP10420"/>
    <x v="3"/>
    <x v="347"/>
    <d v="2025-02-12T00:00:00"/>
    <n v="460.35"/>
    <x v="3"/>
    <x v="0"/>
    <s v="NA"/>
    <x v="0"/>
  </r>
  <r>
    <s v="AP10421"/>
    <x v="3"/>
    <x v="195"/>
    <d v="2025-03-18T00:00:00"/>
    <n v="2305.42"/>
    <x v="3"/>
    <x v="0"/>
    <s v="NA"/>
    <x v="0"/>
  </r>
  <r>
    <s v="AP10422"/>
    <x v="2"/>
    <x v="348"/>
    <d v="2024-01-15T00:00:00"/>
    <n v="2623.62"/>
    <x v="2"/>
    <x v="1"/>
    <s v="NA"/>
    <x v="0"/>
  </r>
  <r>
    <s v="AP10423"/>
    <x v="1"/>
    <x v="349"/>
    <d v="2024-03-21T00:00:00"/>
    <n v="1571.77"/>
    <x v="0"/>
    <x v="0"/>
    <s v="NA"/>
    <x v="0"/>
  </r>
  <r>
    <s v="AP10424"/>
    <x v="1"/>
    <x v="350"/>
    <d v="2023-06-14T00:00:00"/>
    <n v="4241.5600000000004"/>
    <x v="1"/>
    <x v="0"/>
    <s v="NA"/>
    <x v="0"/>
  </r>
  <r>
    <s v="AP10425"/>
    <x v="0"/>
    <x v="230"/>
    <d v="2023-07-09T00:00:00"/>
    <n v="3066.36"/>
    <x v="1"/>
    <x v="2"/>
    <d v="2023-07-09T00:00:00"/>
    <x v="0"/>
  </r>
  <r>
    <s v="AP10426"/>
    <x v="2"/>
    <x v="21"/>
    <d v="2025-01-26T00:00:00"/>
    <n v="1623.29"/>
    <x v="4"/>
    <x v="1"/>
    <s v="NA"/>
    <x v="0"/>
  </r>
  <r>
    <s v="AP10427"/>
    <x v="0"/>
    <x v="351"/>
    <d v="2023-08-07T00:00:00"/>
    <n v="4738.84"/>
    <x v="3"/>
    <x v="1"/>
    <s v="NA"/>
    <x v="0"/>
  </r>
  <r>
    <s v="AP10428"/>
    <x v="0"/>
    <x v="352"/>
    <d v="2023-10-10T00:00:00"/>
    <n v="2769.92"/>
    <x v="1"/>
    <x v="1"/>
    <s v="NA"/>
    <x v="0"/>
  </r>
  <r>
    <s v="AP10429"/>
    <x v="0"/>
    <x v="353"/>
    <d v="2025-01-14T00:00:00"/>
    <n v="2883.34"/>
    <x v="2"/>
    <x v="0"/>
    <s v="NA"/>
    <x v="0"/>
  </r>
  <r>
    <s v="AP10430"/>
    <x v="2"/>
    <x v="354"/>
    <d v="2024-07-04T00:00:00"/>
    <n v="2334.1799999999998"/>
    <x v="4"/>
    <x v="0"/>
    <s v="NA"/>
    <x v="0"/>
  </r>
  <r>
    <s v="AP10431"/>
    <x v="4"/>
    <x v="355"/>
    <d v="2023-11-19T00:00:00"/>
    <n v="3148.17"/>
    <x v="3"/>
    <x v="0"/>
    <s v="NA"/>
    <x v="0"/>
  </r>
  <r>
    <s v="AP10432"/>
    <x v="4"/>
    <x v="356"/>
    <d v="2024-11-07T00:00:00"/>
    <n v="1378.14"/>
    <x v="2"/>
    <x v="2"/>
    <d v="2024-11-07T00:00:00"/>
    <x v="0"/>
  </r>
  <r>
    <s v="AP10433"/>
    <x v="3"/>
    <x v="357"/>
    <d v="2025-03-13T00:00:00"/>
    <n v="275.33999999999997"/>
    <x v="2"/>
    <x v="0"/>
    <s v="NA"/>
    <x v="0"/>
  </r>
  <r>
    <s v="AP10434"/>
    <x v="0"/>
    <x v="358"/>
    <d v="2023-04-30T00:00:00"/>
    <n v="2274.14"/>
    <x v="0"/>
    <x v="1"/>
    <s v="NA"/>
    <x v="0"/>
  </r>
  <r>
    <s v="AP10435"/>
    <x v="3"/>
    <x v="359"/>
    <d v="2023-10-12T00:00:00"/>
    <n v="800.97"/>
    <x v="1"/>
    <x v="2"/>
    <d v="2023-10-12T00:00:00"/>
    <x v="0"/>
  </r>
  <r>
    <s v="AP10436"/>
    <x v="2"/>
    <x v="360"/>
    <d v="2023-03-09T00:00:00"/>
    <n v="2595.11"/>
    <x v="4"/>
    <x v="0"/>
    <s v="NA"/>
    <x v="0"/>
  </r>
  <r>
    <s v="AP10437"/>
    <x v="3"/>
    <x v="31"/>
    <d v="2023-11-10T00:00:00"/>
    <n v="4967.66"/>
    <x v="3"/>
    <x v="2"/>
    <d v="2023-11-10T00:00:00"/>
    <x v="0"/>
  </r>
  <r>
    <s v="AP10438"/>
    <x v="0"/>
    <x v="361"/>
    <d v="2024-04-09T00:00:00"/>
    <n v="523.04999999999995"/>
    <x v="0"/>
    <x v="0"/>
    <s v="NA"/>
    <x v="0"/>
  </r>
  <r>
    <s v="AP10439"/>
    <x v="2"/>
    <x v="226"/>
    <d v="2023-06-28T00:00:00"/>
    <n v="3485.01"/>
    <x v="0"/>
    <x v="2"/>
    <d v="2023-06-28T00:00:00"/>
    <x v="0"/>
  </r>
  <r>
    <s v="AP10440"/>
    <x v="1"/>
    <x v="170"/>
    <d v="2023-03-06T00:00:00"/>
    <n v="2251.04"/>
    <x v="0"/>
    <x v="2"/>
    <d v="2023-03-06T00:00:00"/>
    <x v="0"/>
  </r>
  <r>
    <s v="AP10441"/>
    <x v="4"/>
    <x v="31"/>
    <d v="2023-11-10T00:00:00"/>
    <n v="3521.51"/>
    <x v="2"/>
    <x v="2"/>
    <d v="2023-11-10T00:00:00"/>
    <x v="0"/>
  </r>
  <r>
    <s v="AP10442"/>
    <x v="1"/>
    <x v="311"/>
    <d v="2025-05-09T00:00:00"/>
    <n v="3808.69"/>
    <x v="1"/>
    <x v="0"/>
    <s v="NA"/>
    <x v="0"/>
  </r>
  <r>
    <s v="AP10443"/>
    <x v="2"/>
    <x v="362"/>
    <d v="2023-06-16T00:00:00"/>
    <n v="3920.07"/>
    <x v="4"/>
    <x v="2"/>
    <d v="2023-06-16T00:00:00"/>
    <x v="0"/>
  </r>
  <r>
    <s v="AP10444"/>
    <x v="2"/>
    <x v="363"/>
    <d v="2023-04-21T00:00:00"/>
    <n v="4941.76"/>
    <x v="2"/>
    <x v="1"/>
    <s v="NA"/>
    <x v="0"/>
  </r>
  <r>
    <s v="AP10445"/>
    <x v="2"/>
    <x v="364"/>
    <d v="2023-12-04T00:00:00"/>
    <n v="1079.6099999999999"/>
    <x v="3"/>
    <x v="0"/>
    <s v="NA"/>
    <x v="0"/>
  </r>
  <r>
    <s v="AP10446"/>
    <x v="2"/>
    <x v="365"/>
    <d v="2023-06-25T00:00:00"/>
    <n v="4688.33"/>
    <x v="4"/>
    <x v="2"/>
    <d v="2023-06-25T00:00:00"/>
    <x v="0"/>
  </r>
  <r>
    <s v="AP10447"/>
    <x v="2"/>
    <x v="366"/>
    <d v="2024-01-03T00:00:00"/>
    <n v="705.05"/>
    <x v="3"/>
    <x v="1"/>
    <s v="NA"/>
    <x v="0"/>
  </r>
  <r>
    <s v="AP10448"/>
    <x v="3"/>
    <x v="73"/>
    <d v="2023-06-21T00:00:00"/>
    <n v="1193.94"/>
    <x v="1"/>
    <x v="0"/>
    <s v="NA"/>
    <x v="0"/>
  </r>
  <r>
    <s v="AP10449"/>
    <x v="3"/>
    <x v="367"/>
    <d v="2024-11-05T00:00:00"/>
    <n v="232.29"/>
    <x v="3"/>
    <x v="2"/>
    <d v="2024-11-05T00:00:00"/>
    <x v="0"/>
  </r>
  <r>
    <s v="AP10450"/>
    <x v="1"/>
    <x v="368"/>
    <d v="2024-02-25T00:00:00"/>
    <n v="4202.26"/>
    <x v="0"/>
    <x v="1"/>
    <s v="NA"/>
    <x v="0"/>
  </r>
  <r>
    <s v="AP10451"/>
    <x v="4"/>
    <x v="213"/>
    <d v="2024-02-23T00:00:00"/>
    <n v="3696.33"/>
    <x v="4"/>
    <x v="2"/>
    <d v="2024-02-23T00:00:00"/>
    <x v="0"/>
  </r>
  <r>
    <s v="AP10452"/>
    <x v="3"/>
    <x v="207"/>
    <d v="2024-02-27T00:00:00"/>
    <n v="3133.53"/>
    <x v="3"/>
    <x v="2"/>
    <d v="2024-02-27T00:00:00"/>
    <x v="0"/>
  </r>
  <r>
    <s v="AP10453"/>
    <x v="0"/>
    <x v="193"/>
    <d v="2024-07-17T00:00:00"/>
    <n v="2405.39"/>
    <x v="3"/>
    <x v="2"/>
    <d v="2024-07-17T00:00:00"/>
    <x v="0"/>
  </r>
  <r>
    <s v="AP10454"/>
    <x v="3"/>
    <x v="254"/>
    <d v="2024-02-10T00:00:00"/>
    <n v="1074.8499999999999"/>
    <x v="3"/>
    <x v="1"/>
    <s v="NA"/>
    <x v="0"/>
  </r>
  <r>
    <s v="AP10455"/>
    <x v="2"/>
    <x v="369"/>
    <d v="2025-01-21T00:00:00"/>
    <n v="3359"/>
    <x v="2"/>
    <x v="0"/>
    <s v="NA"/>
    <x v="0"/>
  </r>
  <r>
    <s v="AP10456"/>
    <x v="4"/>
    <x v="370"/>
    <d v="2025-03-14T00:00:00"/>
    <n v="419.58"/>
    <x v="4"/>
    <x v="2"/>
    <d v="2025-03-14T00:00:00"/>
    <x v="0"/>
  </r>
  <r>
    <s v="AP10457"/>
    <x v="1"/>
    <x v="26"/>
    <d v="2024-04-24T00:00:00"/>
    <n v="1704.27"/>
    <x v="1"/>
    <x v="0"/>
    <s v="NA"/>
    <x v="0"/>
  </r>
  <r>
    <s v="AP10458"/>
    <x v="2"/>
    <x v="371"/>
    <d v="2024-05-15T00:00:00"/>
    <n v="1545.19"/>
    <x v="2"/>
    <x v="2"/>
    <d v="2024-05-15T00:00:00"/>
    <x v="0"/>
  </r>
  <r>
    <s v="AP10459"/>
    <x v="2"/>
    <x v="372"/>
    <d v="2023-10-29T00:00:00"/>
    <n v="3414.41"/>
    <x v="4"/>
    <x v="1"/>
    <s v="NA"/>
    <x v="0"/>
  </r>
  <r>
    <s v="AP10460"/>
    <x v="0"/>
    <x v="373"/>
    <d v="2025-06-01T00:00:00"/>
    <n v="3597.78"/>
    <x v="3"/>
    <x v="1"/>
    <s v="NA"/>
    <x v="0"/>
  </r>
  <r>
    <s v="AP10461"/>
    <x v="1"/>
    <x v="374"/>
    <d v="2024-12-03T00:00:00"/>
    <n v="2642.3"/>
    <x v="0"/>
    <x v="0"/>
    <s v="NA"/>
    <x v="0"/>
  </r>
  <r>
    <s v="AP10462"/>
    <x v="1"/>
    <x v="375"/>
    <d v="2023-03-28T00:00:00"/>
    <n v="4728.07"/>
    <x v="4"/>
    <x v="1"/>
    <s v="NA"/>
    <x v="0"/>
  </r>
  <r>
    <s v="AP10463"/>
    <x v="4"/>
    <x v="376"/>
    <d v="2024-12-28T00:00:00"/>
    <n v="1560.4"/>
    <x v="1"/>
    <x v="1"/>
    <s v="NA"/>
    <x v="0"/>
  </r>
  <r>
    <s v="AP10464"/>
    <x v="3"/>
    <x v="377"/>
    <d v="2024-04-22T00:00:00"/>
    <n v="2026.99"/>
    <x v="2"/>
    <x v="0"/>
    <s v="NA"/>
    <x v="0"/>
  </r>
  <r>
    <s v="AP10465"/>
    <x v="0"/>
    <x v="378"/>
    <d v="2024-11-08T00:00:00"/>
    <n v="1142.8399999999999"/>
    <x v="3"/>
    <x v="2"/>
    <d v="2024-11-08T00:00:00"/>
    <x v="0"/>
  </r>
  <r>
    <s v="AP10466"/>
    <x v="3"/>
    <x v="172"/>
    <d v="2024-06-01T00:00:00"/>
    <n v="3401.72"/>
    <x v="2"/>
    <x v="0"/>
    <s v="NA"/>
    <x v="0"/>
  </r>
  <r>
    <s v="AP10467"/>
    <x v="0"/>
    <x v="177"/>
    <d v="2023-06-29T00:00:00"/>
    <n v="4753.22"/>
    <x v="2"/>
    <x v="1"/>
    <s v="NA"/>
    <x v="0"/>
  </r>
  <r>
    <s v="AP10468"/>
    <x v="0"/>
    <x v="379"/>
    <d v="2025-06-11T00:00:00"/>
    <n v="3640.83"/>
    <x v="2"/>
    <x v="1"/>
    <s v="NA"/>
    <x v="0"/>
  </r>
  <r>
    <s v="AP10469"/>
    <x v="1"/>
    <x v="298"/>
    <d v="2024-04-06T00:00:00"/>
    <n v="2662.58"/>
    <x v="1"/>
    <x v="1"/>
    <s v="NA"/>
    <x v="0"/>
  </r>
  <r>
    <s v="AP10470"/>
    <x v="0"/>
    <x v="380"/>
    <d v="2024-12-23T00:00:00"/>
    <n v="212.92"/>
    <x v="0"/>
    <x v="0"/>
    <s v="NA"/>
    <x v="0"/>
  </r>
  <r>
    <s v="AP10471"/>
    <x v="0"/>
    <x v="381"/>
    <d v="2023-12-24T00:00:00"/>
    <n v="980.09"/>
    <x v="2"/>
    <x v="2"/>
    <d v="2023-12-24T00:00:00"/>
    <x v="0"/>
  </r>
  <r>
    <s v="AP10472"/>
    <x v="2"/>
    <x v="382"/>
    <d v="2024-01-01T00:00:00"/>
    <n v="1179.8800000000001"/>
    <x v="2"/>
    <x v="0"/>
    <s v="NA"/>
    <x v="0"/>
  </r>
  <r>
    <s v="AP10473"/>
    <x v="1"/>
    <x v="383"/>
    <d v="2024-03-03T00:00:00"/>
    <n v="1750.63"/>
    <x v="4"/>
    <x v="0"/>
    <s v="NA"/>
    <x v="0"/>
  </r>
  <r>
    <s v="AP10474"/>
    <x v="1"/>
    <x v="376"/>
    <d v="2024-12-28T00:00:00"/>
    <n v="3207.4"/>
    <x v="4"/>
    <x v="2"/>
    <d v="2024-12-28T00:00:00"/>
    <x v="0"/>
  </r>
  <r>
    <s v="AP10475"/>
    <x v="1"/>
    <x v="384"/>
    <d v="2023-11-29T00:00:00"/>
    <n v="2412.71"/>
    <x v="0"/>
    <x v="2"/>
    <d v="2023-11-29T00:00:00"/>
    <x v="0"/>
  </r>
  <r>
    <s v="AP10476"/>
    <x v="4"/>
    <x v="294"/>
    <d v="2023-12-05T00:00:00"/>
    <n v="382.4"/>
    <x v="3"/>
    <x v="1"/>
    <s v="NA"/>
    <x v="0"/>
  </r>
  <r>
    <s v="AP10477"/>
    <x v="2"/>
    <x v="385"/>
    <d v="2023-07-29T00:00:00"/>
    <n v="4004.66"/>
    <x v="1"/>
    <x v="2"/>
    <d v="2023-07-29T00:00:00"/>
    <x v="0"/>
  </r>
  <r>
    <s v="AP10478"/>
    <x v="3"/>
    <x v="349"/>
    <d v="2024-03-21T00:00:00"/>
    <n v="4777.58"/>
    <x v="4"/>
    <x v="0"/>
    <s v="NA"/>
    <x v="0"/>
  </r>
  <r>
    <s v="AP10479"/>
    <x v="1"/>
    <x v="386"/>
    <d v="2023-10-16T00:00:00"/>
    <n v="1599.7"/>
    <x v="2"/>
    <x v="1"/>
    <s v="NA"/>
    <x v="0"/>
  </r>
  <r>
    <s v="AP10480"/>
    <x v="1"/>
    <x v="278"/>
    <d v="2025-03-21T00:00:00"/>
    <n v="4973.3"/>
    <x v="3"/>
    <x v="0"/>
    <s v="NA"/>
    <x v="0"/>
  </r>
  <r>
    <s v="AP10481"/>
    <x v="2"/>
    <x v="387"/>
    <d v="2023-07-22T00:00:00"/>
    <n v="717.91"/>
    <x v="0"/>
    <x v="0"/>
    <s v="NA"/>
    <x v="0"/>
  </r>
  <r>
    <s v="AP10482"/>
    <x v="3"/>
    <x v="388"/>
    <d v="2025-02-26T00:00:00"/>
    <n v="1388.79"/>
    <x v="2"/>
    <x v="2"/>
    <d v="2025-02-26T00:00:00"/>
    <x v="0"/>
  </r>
  <r>
    <s v="AP10483"/>
    <x v="0"/>
    <x v="389"/>
    <d v="2025-07-15T00:00:00"/>
    <n v="669.06"/>
    <x v="2"/>
    <x v="2"/>
    <d v="2025-07-15T00:00:00"/>
    <x v="0"/>
  </r>
  <r>
    <s v="AP10484"/>
    <x v="2"/>
    <x v="390"/>
    <d v="2023-10-23T00:00:00"/>
    <n v="158.72"/>
    <x v="4"/>
    <x v="2"/>
    <d v="2023-10-23T00:00:00"/>
    <x v="0"/>
  </r>
  <r>
    <s v="AP10485"/>
    <x v="4"/>
    <x v="391"/>
    <d v="2024-03-25T00:00:00"/>
    <n v="502.65"/>
    <x v="3"/>
    <x v="1"/>
    <s v="NA"/>
    <x v="0"/>
  </r>
  <r>
    <s v="AP10486"/>
    <x v="3"/>
    <x v="392"/>
    <d v="2023-03-16T00:00:00"/>
    <n v="2135.0100000000002"/>
    <x v="0"/>
    <x v="0"/>
    <s v="NA"/>
    <x v="0"/>
  </r>
  <r>
    <s v="AP10487"/>
    <x v="4"/>
    <x v="299"/>
    <d v="2023-02-10T00:00:00"/>
    <n v="386.6"/>
    <x v="3"/>
    <x v="1"/>
    <s v="NA"/>
    <x v="0"/>
  </r>
  <r>
    <s v="AP10488"/>
    <x v="3"/>
    <x v="345"/>
    <d v="2023-08-23T00:00:00"/>
    <n v="3185.2"/>
    <x v="3"/>
    <x v="0"/>
    <s v="NA"/>
    <x v="0"/>
  </r>
  <r>
    <s v="AP10489"/>
    <x v="3"/>
    <x v="282"/>
    <d v="2024-05-05T00:00:00"/>
    <n v="2817.08"/>
    <x v="1"/>
    <x v="1"/>
    <s v="NA"/>
    <x v="0"/>
  </r>
  <r>
    <s v="AP10490"/>
    <x v="4"/>
    <x v="28"/>
    <d v="2023-04-05T00:00:00"/>
    <n v="3897.98"/>
    <x v="4"/>
    <x v="2"/>
    <d v="2023-04-05T00:00:00"/>
    <x v="0"/>
  </r>
  <r>
    <s v="AP10491"/>
    <x v="3"/>
    <x v="129"/>
    <d v="2025-01-04T00:00:00"/>
    <n v="3623.95"/>
    <x v="3"/>
    <x v="1"/>
    <s v="NA"/>
    <x v="0"/>
  </r>
  <r>
    <s v="AP10492"/>
    <x v="2"/>
    <x v="393"/>
    <d v="2024-06-20T00:00:00"/>
    <n v="1803.9"/>
    <x v="3"/>
    <x v="1"/>
    <s v="NA"/>
    <x v="0"/>
  </r>
  <r>
    <s v="AP10493"/>
    <x v="0"/>
    <x v="385"/>
    <d v="2023-07-29T00:00:00"/>
    <n v="2543.84"/>
    <x v="3"/>
    <x v="1"/>
    <s v="NA"/>
    <x v="0"/>
  </r>
  <r>
    <s v="AP10494"/>
    <x v="4"/>
    <x v="35"/>
    <d v="2023-08-20T00:00:00"/>
    <n v="292.57"/>
    <x v="1"/>
    <x v="0"/>
    <s v="NA"/>
    <x v="0"/>
  </r>
  <r>
    <s v="AP10495"/>
    <x v="2"/>
    <x v="394"/>
    <d v="2024-09-17T00:00:00"/>
    <n v="688.61"/>
    <x v="3"/>
    <x v="2"/>
    <d v="2024-09-17T00:00:00"/>
    <x v="0"/>
  </r>
  <r>
    <s v="AP10496"/>
    <x v="3"/>
    <x v="395"/>
    <d v="2024-01-27T00:00:00"/>
    <n v="1121.18"/>
    <x v="3"/>
    <x v="1"/>
    <s v="NA"/>
    <x v="0"/>
  </r>
  <r>
    <s v="AP10497"/>
    <x v="1"/>
    <x v="287"/>
    <d v="2024-05-13T00:00:00"/>
    <n v="3953.98"/>
    <x v="0"/>
    <x v="1"/>
    <s v="NA"/>
    <x v="0"/>
  </r>
  <r>
    <s v="AP10498"/>
    <x v="2"/>
    <x v="396"/>
    <d v="2024-03-06T00:00:00"/>
    <n v="597.75"/>
    <x v="3"/>
    <x v="0"/>
    <s v="NA"/>
    <x v="0"/>
  </r>
  <r>
    <s v="AP10499"/>
    <x v="0"/>
    <x v="397"/>
    <d v="2025-02-22T00:00:00"/>
    <n v="1752.55"/>
    <x v="3"/>
    <x v="0"/>
    <s v="NA"/>
    <x v="0"/>
  </r>
  <r>
    <s v="AP10500"/>
    <x v="2"/>
    <x v="166"/>
    <d v="2023-04-12T00:00:00"/>
    <n v="3490.73"/>
    <x v="0"/>
    <x v="0"/>
    <s v="NA"/>
    <x v="0"/>
  </r>
  <r>
    <s v="AP10501"/>
    <x v="0"/>
    <x v="398"/>
    <d v="2024-11-18T00:00:00"/>
    <n v="1143.7"/>
    <x v="4"/>
    <x v="1"/>
    <s v="NA"/>
    <x v="0"/>
  </r>
  <r>
    <s v="AP10502"/>
    <x v="4"/>
    <x v="399"/>
    <d v="2024-10-20T00:00:00"/>
    <n v="636.6"/>
    <x v="0"/>
    <x v="2"/>
    <d v="2024-10-20T00:00:00"/>
    <x v="0"/>
  </r>
  <r>
    <s v="AP10503"/>
    <x v="1"/>
    <x v="400"/>
    <d v="2025-05-14T00:00:00"/>
    <n v="3339.54"/>
    <x v="0"/>
    <x v="0"/>
    <s v="NA"/>
    <x v="0"/>
  </r>
  <r>
    <s v="AP10504"/>
    <x v="0"/>
    <x v="353"/>
    <d v="2025-01-14T00:00:00"/>
    <n v="3555.72"/>
    <x v="0"/>
    <x v="1"/>
    <s v="NA"/>
    <x v="0"/>
  </r>
  <r>
    <s v="AP10505"/>
    <x v="2"/>
    <x v="401"/>
    <d v="2025-05-30T00:00:00"/>
    <n v="2971.5"/>
    <x v="3"/>
    <x v="0"/>
    <s v="NA"/>
    <x v="0"/>
  </r>
  <r>
    <s v="AP10506"/>
    <x v="0"/>
    <x v="402"/>
    <d v="2025-06-08T00:00:00"/>
    <n v="2945.39"/>
    <x v="4"/>
    <x v="2"/>
    <d v="2025-06-08T00:00:00"/>
    <x v="0"/>
  </r>
  <r>
    <s v="AP10507"/>
    <x v="2"/>
    <x v="403"/>
    <d v="2024-07-29T00:00:00"/>
    <n v="4563.8"/>
    <x v="2"/>
    <x v="2"/>
    <d v="2024-07-29T00:00:00"/>
    <x v="0"/>
  </r>
  <r>
    <s v="AP10508"/>
    <x v="2"/>
    <x v="404"/>
    <d v="2023-04-16T00:00:00"/>
    <n v="3590.5"/>
    <x v="4"/>
    <x v="0"/>
    <s v="NA"/>
    <x v="0"/>
  </r>
  <r>
    <s v="AP10509"/>
    <x v="2"/>
    <x v="192"/>
    <d v="2023-02-21T00:00:00"/>
    <n v="1989.22"/>
    <x v="0"/>
    <x v="1"/>
    <s v="NA"/>
    <x v="0"/>
  </r>
  <r>
    <s v="AP10510"/>
    <x v="0"/>
    <x v="327"/>
    <d v="2023-02-03T00:00:00"/>
    <n v="4650.78"/>
    <x v="1"/>
    <x v="0"/>
    <s v="NA"/>
    <x v="0"/>
  </r>
  <r>
    <s v="AP10511"/>
    <x v="4"/>
    <x v="405"/>
    <d v="2023-08-10T00:00:00"/>
    <n v="3071.51"/>
    <x v="1"/>
    <x v="1"/>
    <s v="NA"/>
    <x v="0"/>
  </r>
  <r>
    <s v="AP10512"/>
    <x v="2"/>
    <x v="406"/>
    <d v="2023-10-27T00:00:00"/>
    <n v="4956.1099999999997"/>
    <x v="2"/>
    <x v="0"/>
    <s v="NA"/>
    <x v="0"/>
  </r>
  <r>
    <s v="AP10513"/>
    <x v="0"/>
    <x v="407"/>
    <d v="2024-07-03T00:00:00"/>
    <n v="2561.35"/>
    <x v="4"/>
    <x v="0"/>
    <s v="NA"/>
    <x v="0"/>
  </r>
  <r>
    <s v="AP10514"/>
    <x v="2"/>
    <x v="157"/>
    <d v="2025-01-10T00:00:00"/>
    <n v="3812.86"/>
    <x v="2"/>
    <x v="0"/>
    <s v="NA"/>
    <x v="0"/>
  </r>
  <r>
    <s v="AP10515"/>
    <x v="1"/>
    <x v="408"/>
    <d v="2024-01-30T00:00:00"/>
    <n v="4798.3"/>
    <x v="1"/>
    <x v="0"/>
    <s v="NA"/>
    <x v="0"/>
  </r>
  <r>
    <s v="AP10516"/>
    <x v="1"/>
    <x v="409"/>
    <d v="2024-10-03T00:00:00"/>
    <n v="2626.26"/>
    <x v="1"/>
    <x v="0"/>
    <s v="NA"/>
    <x v="0"/>
  </r>
  <r>
    <s v="AP10517"/>
    <x v="4"/>
    <x v="410"/>
    <d v="2023-10-04T00:00:00"/>
    <n v="1667.91"/>
    <x v="1"/>
    <x v="0"/>
    <s v="NA"/>
    <x v="0"/>
  </r>
  <r>
    <s v="AP10518"/>
    <x v="0"/>
    <x v="411"/>
    <d v="2025-07-17T00:00:00"/>
    <n v="556.64"/>
    <x v="3"/>
    <x v="1"/>
    <s v="NA"/>
    <x v="0"/>
  </r>
  <r>
    <s v="AP10519"/>
    <x v="3"/>
    <x v="412"/>
    <d v="2025-02-13T00:00:00"/>
    <n v="2084.02"/>
    <x v="0"/>
    <x v="1"/>
    <s v="NA"/>
    <x v="0"/>
  </r>
  <r>
    <s v="AP10520"/>
    <x v="4"/>
    <x v="413"/>
    <d v="2024-03-27T00:00:00"/>
    <n v="1225.05"/>
    <x v="2"/>
    <x v="1"/>
    <s v="NA"/>
    <x v="0"/>
  </r>
  <r>
    <s v="AP10521"/>
    <x v="1"/>
    <x v="299"/>
    <d v="2023-02-10T00:00:00"/>
    <n v="1607.66"/>
    <x v="4"/>
    <x v="1"/>
    <s v="NA"/>
    <x v="0"/>
  </r>
  <r>
    <s v="AP10522"/>
    <x v="0"/>
    <x v="302"/>
    <d v="2024-07-09T00:00:00"/>
    <n v="2772.97"/>
    <x v="2"/>
    <x v="2"/>
    <d v="2024-07-09T00:00:00"/>
    <x v="0"/>
  </r>
  <r>
    <s v="AP10523"/>
    <x v="3"/>
    <x v="414"/>
    <d v="2024-11-30T00:00:00"/>
    <n v="1641.38"/>
    <x v="4"/>
    <x v="1"/>
    <s v="NA"/>
    <x v="0"/>
  </r>
  <r>
    <s v="AP10524"/>
    <x v="2"/>
    <x v="415"/>
    <d v="2024-10-04T00:00:00"/>
    <n v="549.14"/>
    <x v="4"/>
    <x v="2"/>
    <d v="2024-10-04T00:00:00"/>
    <x v="0"/>
  </r>
  <r>
    <s v="AP10525"/>
    <x v="4"/>
    <x v="416"/>
    <d v="2024-10-23T00:00:00"/>
    <n v="3700.73"/>
    <x v="2"/>
    <x v="0"/>
    <s v="NA"/>
    <x v="0"/>
  </r>
  <r>
    <s v="AP10526"/>
    <x v="4"/>
    <x v="213"/>
    <d v="2024-02-23T00:00:00"/>
    <n v="1616.2"/>
    <x v="1"/>
    <x v="1"/>
    <s v="NA"/>
    <x v="0"/>
  </r>
  <r>
    <s v="AP10527"/>
    <x v="0"/>
    <x v="417"/>
    <d v="2025-04-01T00:00:00"/>
    <n v="233.75"/>
    <x v="0"/>
    <x v="1"/>
    <s v="NA"/>
    <x v="0"/>
  </r>
  <r>
    <s v="AP10528"/>
    <x v="0"/>
    <x v="252"/>
    <d v="2024-11-15T00:00:00"/>
    <n v="1198.76"/>
    <x v="4"/>
    <x v="1"/>
    <s v="NA"/>
    <x v="0"/>
  </r>
  <r>
    <s v="AP10529"/>
    <x v="4"/>
    <x v="418"/>
    <d v="2025-07-18T00:00:00"/>
    <n v="1819.59"/>
    <x v="2"/>
    <x v="1"/>
    <s v="NA"/>
    <x v="0"/>
  </r>
  <r>
    <s v="AP10530"/>
    <x v="4"/>
    <x v="419"/>
    <d v="2025-03-04T00:00:00"/>
    <n v="3747.3"/>
    <x v="1"/>
    <x v="2"/>
    <d v="2025-03-04T00:00:00"/>
    <x v="0"/>
  </r>
  <r>
    <s v="AP10531"/>
    <x v="1"/>
    <x v="141"/>
    <d v="2023-09-15T00:00:00"/>
    <n v="4706.8100000000004"/>
    <x v="0"/>
    <x v="2"/>
    <d v="2023-09-15T00:00:00"/>
    <x v="0"/>
  </r>
  <r>
    <s v="AP10532"/>
    <x v="3"/>
    <x v="125"/>
    <d v="2025-06-04T00:00:00"/>
    <n v="2329.4299999999998"/>
    <x v="1"/>
    <x v="1"/>
    <s v="NA"/>
    <x v="0"/>
  </r>
  <r>
    <s v="AP10533"/>
    <x v="2"/>
    <x v="420"/>
    <d v="2024-09-11T00:00:00"/>
    <n v="3499.14"/>
    <x v="2"/>
    <x v="1"/>
    <s v="NA"/>
    <x v="0"/>
  </r>
  <r>
    <s v="AP10534"/>
    <x v="3"/>
    <x v="421"/>
    <d v="2023-09-07T00:00:00"/>
    <n v="3732.67"/>
    <x v="2"/>
    <x v="2"/>
    <d v="2023-09-07T00:00:00"/>
    <x v="0"/>
  </r>
  <r>
    <s v="AP10535"/>
    <x v="3"/>
    <x v="422"/>
    <d v="2024-10-07T00:00:00"/>
    <n v="365.59"/>
    <x v="1"/>
    <x v="0"/>
    <s v="NA"/>
    <x v="0"/>
  </r>
  <r>
    <s v="AP10536"/>
    <x v="4"/>
    <x v="423"/>
    <d v="2024-05-01T00:00:00"/>
    <n v="3778.67"/>
    <x v="0"/>
    <x v="0"/>
    <s v="NA"/>
    <x v="0"/>
  </r>
  <r>
    <s v="AP10537"/>
    <x v="2"/>
    <x v="371"/>
    <d v="2024-05-15T00:00:00"/>
    <n v="4324.6400000000003"/>
    <x v="0"/>
    <x v="1"/>
    <s v="NA"/>
    <x v="0"/>
  </r>
  <r>
    <s v="AP10538"/>
    <x v="4"/>
    <x v="424"/>
    <d v="2024-08-26T00:00:00"/>
    <n v="3648.16"/>
    <x v="1"/>
    <x v="2"/>
    <d v="2024-08-26T00:00:00"/>
    <x v="0"/>
  </r>
  <r>
    <s v="AP10539"/>
    <x v="1"/>
    <x v="187"/>
    <d v="2025-04-10T00:00:00"/>
    <n v="106.75"/>
    <x v="4"/>
    <x v="2"/>
    <d v="2025-04-10T00:00:00"/>
    <x v="0"/>
  </r>
  <r>
    <s v="AP10540"/>
    <x v="1"/>
    <x v="425"/>
    <d v="2023-02-20T00:00:00"/>
    <n v="2259.02"/>
    <x v="1"/>
    <x v="1"/>
    <s v="NA"/>
    <x v="0"/>
  </r>
  <r>
    <s v="AP10541"/>
    <x v="3"/>
    <x v="426"/>
    <d v="2023-02-14T00:00:00"/>
    <n v="2046.68"/>
    <x v="1"/>
    <x v="0"/>
    <s v="NA"/>
    <x v="0"/>
  </r>
  <r>
    <s v="AP10542"/>
    <x v="3"/>
    <x v="125"/>
    <d v="2025-06-04T00:00:00"/>
    <n v="3776.36"/>
    <x v="2"/>
    <x v="2"/>
    <d v="2025-06-04T00:00:00"/>
    <x v="0"/>
  </r>
  <r>
    <s v="AP10543"/>
    <x v="1"/>
    <x v="231"/>
    <d v="2025-07-07T00:00:00"/>
    <n v="2839.95"/>
    <x v="0"/>
    <x v="2"/>
    <d v="2025-07-07T00:00:00"/>
    <x v="0"/>
  </r>
  <r>
    <s v="AP10544"/>
    <x v="1"/>
    <x v="427"/>
    <d v="2023-08-14T00:00:00"/>
    <n v="2261.9499999999998"/>
    <x v="2"/>
    <x v="0"/>
    <s v="NA"/>
    <x v="0"/>
  </r>
  <r>
    <s v="AP10545"/>
    <x v="1"/>
    <x v="238"/>
    <d v="2025-02-28T00:00:00"/>
    <n v="104.02"/>
    <x v="0"/>
    <x v="1"/>
    <s v="NA"/>
    <x v="0"/>
  </r>
  <r>
    <s v="AP10546"/>
    <x v="4"/>
    <x v="428"/>
    <d v="2025-07-10T00:00:00"/>
    <n v="3899.93"/>
    <x v="2"/>
    <x v="1"/>
    <s v="NA"/>
    <x v="0"/>
  </r>
  <r>
    <s v="AP10547"/>
    <x v="3"/>
    <x v="429"/>
    <d v="2024-08-02T00:00:00"/>
    <n v="276.7"/>
    <x v="0"/>
    <x v="0"/>
    <s v="NA"/>
    <x v="0"/>
  </r>
  <r>
    <s v="AP10548"/>
    <x v="0"/>
    <x v="430"/>
    <d v="2023-07-19T00:00:00"/>
    <n v="4610.3100000000004"/>
    <x v="3"/>
    <x v="1"/>
    <s v="NA"/>
    <x v="0"/>
  </r>
  <r>
    <s v="AP10549"/>
    <x v="2"/>
    <x v="431"/>
    <d v="2025-07-04T00:00:00"/>
    <n v="1285.1300000000001"/>
    <x v="2"/>
    <x v="2"/>
    <d v="2025-07-04T00:00:00"/>
    <x v="0"/>
  </r>
  <r>
    <s v="AP10550"/>
    <x v="4"/>
    <x v="264"/>
    <d v="2023-06-22T00:00:00"/>
    <n v="3752.28"/>
    <x v="2"/>
    <x v="1"/>
    <s v="NA"/>
    <x v="0"/>
  </r>
  <r>
    <s v="AP10551"/>
    <x v="1"/>
    <x v="364"/>
    <d v="2023-12-04T00:00:00"/>
    <n v="3746.16"/>
    <x v="2"/>
    <x v="0"/>
    <s v="NA"/>
    <x v="0"/>
  </r>
  <r>
    <s v="AP10552"/>
    <x v="0"/>
    <x v="432"/>
    <d v="2025-01-17T00:00:00"/>
    <n v="4464.8999999999996"/>
    <x v="3"/>
    <x v="2"/>
    <d v="2025-01-17T00:00:00"/>
    <x v="0"/>
  </r>
  <r>
    <s v="AP10553"/>
    <x v="4"/>
    <x v="126"/>
    <d v="2024-07-28T00:00:00"/>
    <n v="4957.1499999999996"/>
    <x v="3"/>
    <x v="0"/>
    <s v="NA"/>
    <x v="0"/>
  </r>
  <r>
    <s v="AP10554"/>
    <x v="3"/>
    <x v="224"/>
    <d v="2024-08-29T00:00:00"/>
    <n v="129.91"/>
    <x v="2"/>
    <x v="0"/>
    <s v="NA"/>
    <x v="0"/>
  </r>
  <r>
    <s v="AP10555"/>
    <x v="1"/>
    <x v="433"/>
    <d v="2023-07-03T00:00:00"/>
    <n v="4151.46"/>
    <x v="4"/>
    <x v="2"/>
    <d v="2023-07-03T00:00:00"/>
    <x v="0"/>
  </r>
  <r>
    <s v="AP10556"/>
    <x v="4"/>
    <x v="147"/>
    <d v="2024-03-24T00:00:00"/>
    <n v="4386"/>
    <x v="4"/>
    <x v="0"/>
    <s v="NA"/>
    <x v="0"/>
  </r>
  <r>
    <s v="AP10557"/>
    <x v="3"/>
    <x v="302"/>
    <d v="2024-07-09T00:00:00"/>
    <n v="2792.29"/>
    <x v="4"/>
    <x v="2"/>
    <d v="2024-07-09T00:00:00"/>
    <x v="0"/>
  </r>
  <r>
    <s v="AP10558"/>
    <x v="4"/>
    <x v="434"/>
    <d v="2025-04-21T00:00:00"/>
    <n v="2307.9"/>
    <x v="2"/>
    <x v="0"/>
    <s v="NA"/>
    <x v="0"/>
  </r>
  <r>
    <s v="AP10559"/>
    <x v="0"/>
    <x v="435"/>
    <d v="2024-10-02T00:00:00"/>
    <n v="1432.07"/>
    <x v="4"/>
    <x v="2"/>
    <d v="2024-10-02T00:00:00"/>
    <x v="0"/>
  </r>
  <r>
    <s v="AP10560"/>
    <x v="3"/>
    <x v="403"/>
    <d v="2024-07-29T00:00:00"/>
    <n v="2127.41"/>
    <x v="3"/>
    <x v="0"/>
    <s v="NA"/>
    <x v="0"/>
  </r>
  <r>
    <s v="AP10561"/>
    <x v="2"/>
    <x v="436"/>
    <d v="2024-12-27T00:00:00"/>
    <n v="254.96"/>
    <x v="2"/>
    <x v="2"/>
    <d v="2024-12-27T00:00:00"/>
    <x v="0"/>
  </r>
  <r>
    <s v="AP10562"/>
    <x v="3"/>
    <x v="307"/>
    <d v="2023-09-21T00:00:00"/>
    <n v="2704.91"/>
    <x v="4"/>
    <x v="0"/>
    <s v="NA"/>
    <x v="0"/>
  </r>
  <r>
    <s v="AP10563"/>
    <x v="2"/>
    <x v="437"/>
    <d v="2024-06-25T00:00:00"/>
    <n v="1222.6300000000001"/>
    <x v="1"/>
    <x v="2"/>
    <d v="2024-06-25T00:00:00"/>
    <x v="0"/>
  </r>
  <r>
    <s v="AP10564"/>
    <x v="1"/>
    <x v="438"/>
    <d v="2023-02-24T00:00:00"/>
    <n v="2660.77"/>
    <x v="3"/>
    <x v="1"/>
    <s v="NA"/>
    <x v="0"/>
  </r>
  <r>
    <s v="AP10565"/>
    <x v="3"/>
    <x v="439"/>
    <d v="2023-08-12T00:00:00"/>
    <n v="1359"/>
    <x v="0"/>
    <x v="0"/>
    <s v="NA"/>
    <x v="0"/>
  </r>
  <r>
    <s v="AP10566"/>
    <x v="3"/>
    <x v="440"/>
    <d v="2023-10-13T00:00:00"/>
    <n v="1597.59"/>
    <x v="0"/>
    <x v="2"/>
    <d v="2023-10-13T00:00:00"/>
    <x v="0"/>
  </r>
  <r>
    <s v="AP10567"/>
    <x v="0"/>
    <x v="208"/>
    <d v="2023-04-11T00:00:00"/>
    <n v="4456.2"/>
    <x v="1"/>
    <x v="1"/>
    <s v="NA"/>
    <x v="0"/>
  </r>
  <r>
    <s v="AP10568"/>
    <x v="4"/>
    <x v="441"/>
    <d v="2024-11-21T00:00:00"/>
    <n v="583.61"/>
    <x v="2"/>
    <x v="1"/>
    <s v="NA"/>
    <x v="0"/>
  </r>
  <r>
    <s v="AP10569"/>
    <x v="4"/>
    <x v="277"/>
    <d v="2024-09-06T00:00:00"/>
    <n v="3912.65"/>
    <x v="3"/>
    <x v="1"/>
    <s v="NA"/>
    <x v="0"/>
  </r>
  <r>
    <s v="AP10570"/>
    <x v="3"/>
    <x v="442"/>
    <d v="2023-06-23T00:00:00"/>
    <n v="2835.21"/>
    <x v="3"/>
    <x v="2"/>
    <d v="2023-06-23T00:00:00"/>
    <x v="0"/>
  </r>
  <r>
    <s v="AP10571"/>
    <x v="3"/>
    <x v="443"/>
    <d v="2024-07-18T00:00:00"/>
    <n v="865.54"/>
    <x v="0"/>
    <x v="1"/>
    <s v="NA"/>
    <x v="0"/>
  </r>
  <r>
    <s v="AP10572"/>
    <x v="3"/>
    <x v="444"/>
    <d v="2024-07-12T00:00:00"/>
    <n v="3671.15"/>
    <x v="2"/>
    <x v="1"/>
    <s v="NA"/>
    <x v="0"/>
  </r>
  <r>
    <s v="AP10573"/>
    <x v="2"/>
    <x v="340"/>
    <d v="2025-05-28T00:00:00"/>
    <n v="2131.81"/>
    <x v="3"/>
    <x v="2"/>
    <d v="2025-05-28T00:00:00"/>
    <x v="0"/>
  </r>
  <r>
    <s v="AP10574"/>
    <x v="1"/>
    <x v="328"/>
    <d v="2024-12-20T00:00:00"/>
    <n v="4512.54"/>
    <x v="4"/>
    <x v="1"/>
    <s v="NA"/>
    <x v="0"/>
  </r>
  <r>
    <s v="AP10575"/>
    <x v="0"/>
    <x v="197"/>
    <d v="2024-08-17T00:00:00"/>
    <n v="4516.3100000000004"/>
    <x v="3"/>
    <x v="0"/>
    <s v="NA"/>
    <x v="0"/>
  </r>
  <r>
    <s v="AP10576"/>
    <x v="1"/>
    <x v="97"/>
    <d v="2024-10-19T00:00:00"/>
    <n v="1978.27"/>
    <x v="3"/>
    <x v="2"/>
    <d v="2024-10-19T00:00:00"/>
    <x v="0"/>
  </r>
  <r>
    <s v="AP10577"/>
    <x v="2"/>
    <x v="14"/>
    <d v="2024-06-04T00:00:00"/>
    <n v="1703.15"/>
    <x v="2"/>
    <x v="2"/>
    <d v="2024-06-04T00:00:00"/>
    <x v="0"/>
  </r>
  <r>
    <s v="AP10578"/>
    <x v="0"/>
    <x v="445"/>
    <d v="2024-01-26T00:00:00"/>
    <n v="765.18"/>
    <x v="3"/>
    <x v="0"/>
    <s v="NA"/>
    <x v="0"/>
  </r>
  <r>
    <s v="AP10579"/>
    <x v="1"/>
    <x v="446"/>
    <d v="2023-04-06T00:00:00"/>
    <n v="4823.6099999999997"/>
    <x v="4"/>
    <x v="0"/>
    <s v="NA"/>
    <x v="0"/>
  </r>
  <r>
    <s v="AP10580"/>
    <x v="4"/>
    <x v="156"/>
    <d v="2025-07-05T00:00:00"/>
    <n v="929.8"/>
    <x v="3"/>
    <x v="2"/>
    <d v="2025-07-05T00:00:00"/>
    <x v="0"/>
  </r>
  <r>
    <s v="AP10581"/>
    <x v="3"/>
    <x v="447"/>
    <d v="2024-03-28T00:00:00"/>
    <n v="4543.1099999999997"/>
    <x v="3"/>
    <x v="2"/>
    <d v="2024-03-28T00:00:00"/>
    <x v="0"/>
  </r>
  <r>
    <s v="AP10582"/>
    <x v="0"/>
    <x v="448"/>
    <d v="2024-04-02T00:00:00"/>
    <n v="3165.91"/>
    <x v="4"/>
    <x v="1"/>
    <s v="NA"/>
    <x v="0"/>
  </r>
  <r>
    <s v="AP10583"/>
    <x v="4"/>
    <x v="449"/>
    <d v="2025-05-02T00:00:00"/>
    <n v="674.53"/>
    <x v="3"/>
    <x v="1"/>
    <s v="NA"/>
    <x v="0"/>
  </r>
  <r>
    <s v="AP10584"/>
    <x v="0"/>
    <x v="349"/>
    <d v="2024-03-21T00:00:00"/>
    <n v="860.37"/>
    <x v="0"/>
    <x v="2"/>
    <d v="2024-03-21T00:00:00"/>
    <x v="0"/>
  </r>
  <r>
    <s v="AP10585"/>
    <x v="0"/>
    <x v="450"/>
    <d v="2023-02-26T00:00:00"/>
    <n v="1506.08"/>
    <x v="0"/>
    <x v="1"/>
    <s v="NA"/>
    <x v="0"/>
  </r>
  <r>
    <s v="AP10586"/>
    <x v="3"/>
    <x v="451"/>
    <d v="2023-09-24T00:00:00"/>
    <n v="1413.73"/>
    <x v="4"/>
    <x v="0"/>
    <s v="NA"/>
    <x v="0"/>
  </r>
  <r>
    <s v="AP10587"/>
    <x v="2"/>
    <x v="452"/>
    <d v="2023-11-30T00:00:00"/>
    <n v="3386.32"/>
    <x v="0"/>
    <x v="2"/>
    <d v="2023-11-30T00:00:00"/>
    <x v="0"/>
  </r>
  <r>
    <s v="AP10588"/>
    <x v="0"/>
    <x v="288"/>
    <d v="2025-01-06T00:00:00"/>
    <n v="3632.78"/>
    <x v="3"/>
    <x v="2"/>
    <d v="2025-01-06T00:00:00"/>
    <x v="0"/>
  </r>
  <r>
    <s v="AP10589"/>
    <x v="4"/>
    <x v="219"/>
    <d v="2024-07-31T00:00:00"/>
    <n v="994.97"/>
    <x v="1"/>
    <x v="2"/>
    <d v="2024-07-31T00:00:00"/>
    <x v="0"/>
  </r>
  <r>
    <s v="AP10590"/>
    <x v="4"/>
    <x v="295"/>
    <d v="2024-01-21T00:00:00"/>
    <n v="2164.98"/>
    <x v="4"/>
    <x v="2"/>
    <d v="2024-01-21T00:00:00"/>
    <x v="0"/>
  </r>
  <r>
    <s v="AP10591"/>
    <x v="3"/>
    <x v="453"/>
    <d v="2024-09-05T00:00:00"/>
    <n v="3042.89"/>
    <x v="4"/>
    <x v="2"/>
    <d v="2024-09-05T00:00:00"/>
    <x v="0"/>
  </r>
  <r>
    <s v="AP10592"/>
    <x v="0"/>
    <x v="454"/>
    <d v="2023-12-15T00:00:00"/>
    <n v="4101.79"/>
    <x v="4"/>
    <x v="2"/>
    <d v="2023-12-15T00:00:00"/>
    <x v="0"/>
  </r>
  <r>
    <s v="AP10593"/>
    <x v="4"/>
    <x v="181"/>
    <d v="2023-10-21T00:00:00"/>
    <n v="3506.57"/>
    <x v="2"/>
    <x v="2"/>
    <d v="2023-10-21T00:00:00"/>
    <x v="0"/>
  </r>
  <r>
    <s v="AP10594"/>
    <x v="4"/>
    <x v="306"/>
    <d v="2025-06-19T00:00:00"/>
    <n v="3352.25"/>
    <x v="0"/>
    <x v="1"/>
    <s v="NA"/>
    <x v="0"/>
  </r>
  <r>
    <s v="AP10595"/>
    <x v="4"/>
    <x v="455"/>
    <d v="2023-11-20T00:00:00"/>
    <n v="940.15"/>
    <x v="3"/>
    <x v="0"/>
    <s v="NA"/>
    <x v="0"/>
  </r>
  <r>
    <s v="AP10596"/>
    <x v="0"/>
    <x v="50"/>
    <d v="2023-09-23T00:00:00"/>
    <n v="3505.16"/>
    <x v="3"/>
    <x v="0"/>
    <s v="NA"/>
    <x v="0"/>
  </r>
  <r>
    <s v="AP10597"/>
    <x v="3"/>
    <x v="456"/>
    <d v="2024-06-07T00:00:00"/>
    <n v="319.55"/>
    <x v="0"/>
    <x v="1"/>
    <s v="NA"/>
    <x v="0"/>
  </r>
  <r>
    <s v="AP10598"/>
    <x v="2"/>
    <x v="457"/>
    <d v="2023-11-23T00:00:00"/>
    <n v="1360.57"/>
    <x v="1"/>
    <x v="2"/>
    <d v="2023-11-23T00:00:00"/>
    <x v="0"/>
  </r>
  <r>
    <s v="AP10599"/>
    <x v="2"/>
    <x v="458"/>
    <d v="2024-01-16T00:00:00"/>
    <n v="2177.67"/>
    <x v="3"/>
    <x v="2"/>
    <d v="2024-01-16T00:00:00"/>
    <x v="0"/>
  </r>
  <r>
    <s v="AP10600"/>
    <x v="3"/>
    <x v="459"/>
    <d v="2023-04-18T00:00:00"/>
    <n v="203.9"/>
    <x v="1"/>
    <x v="0"/>
    <s v="NA"/>
    <x v="0"/>
  </r>
  <r>
    <s v="AP10601"/>
    <x v="0"/>
    <x v="90"/>
    <d v="2023-11-27T00:00:00"/>
    <n v="868.73"/>
    <x v="4"/>
    <x v="2"/>
    <d v="2023-11-27T00:00:00"/>
    <x v="0"/>
  </r>
  <r>
    <s v="AP10602"/>
    <x v="4"/>
    <x v="81"/>
    <d v="2023-07-05T00:00:00"/>
    <n v="283.51"/>
    <x v="4"/>
    <x v="0"/>
    <s v="NA"/>
    <x v="0"/>
  </r>
  <r>
    <s v="AP10603"/>
    <x v="1"/>
    <x v="109"/>
    <d v="2024-12-29T00:00:00"/>
    <n v="1373.89"/>
    <x v="3"/>
    <x v="1"/>
    <s v="NA"/>
    <x v="0"/>
  </r>
  <r>
    <s v="AP10604"/>
    <x v="0"/>
    <x v="460"/>
    <d v="2025-06-16T00:00:00"/>
    <n v="1032.8399999999999"/>
    <x v="3"/>
    <x v="1"/>
    <s v="NA"/>
    <x v="0"/>
  </r>
  <r>
    <s v="AP10605"/>
    <x v="2"/>
    <x v="436"/>
    <d v="2024-12-27T00:00:00"/>
    <n v="389.67"/>
    <x v="2"/>
    <x v="1"/>
    <s v="NA"/>
    <x v="0"/>
  </r>
  <r>
    <s v="AP10606"/>
    <x v="0"/>
    <x v="461"/>
    <d v="2023-04-02T00:00:00"/>
    <n v="3748.86"/>
    <x v="0"/>
    <x v="1"/>
    <s v="NA"/>
    <x v="0"/>
  </r>
  <r>
    <s v="AP10607"/>
    <x v="4"/>
    <x v="160"/>
    <d v="2025-01-08T00:00:00"/>
    <n v="4546.88"/>
    <x v="3"/>
    <x v="0"/>
    <s v="NA"/>
    <x v="0"/>
  </r>
  <r>
    <s v="AP10608"/>
    <x v="3"/>
    <x v="3"/>
    <d v="2024-02-07T00:00:00"/>
    <n v="3439.51"/>
    <x v="4"/>
    <x v="1"/>
    <s v="NA"/>
    <x v="0"/>
  </r>
  <r>
    <s v="AP10609"/>
    <x v="4"/>
    <x v="462"/>
    <d v="2023-03-21T00:00:00"/>
    <n v="3319.57"/>
    <x v="2"/>
    <x v="0"/>
    <s v="NA"/>
    <x v="0"/>
  </r>
  <r>
    <s v="AP10610"/>
    <x v="3"/>
    <x v="54"/>
    <d v="2023-02-02T00:00:00"/>
    <n v="3057.93"/>
    <x v="1"/>
    <x v="2"/>
    <d v="2023-02-02T00:00:00"/>
    <x v="0"/>
  </r>
  <r>
    <s v="AP10611"/>
    <x v="2"/>
    <x v="312"/>
    <d v="2024-08-21T00:00:00"/>
    <n v="1043.05"/>
    <x v="4"/>
    <x v="1"/>
    <s v="NA"/>
    <x v="0"/>
  </r>
  <r>
    <s v="AP10612"/>
    <x v="3"/>
    <x v="75"/>
    <d v="2024-05-19T00:00:00"/>
    <n v="1216.7"/>
    <x v="2"/>
    <x v="0"/>
    <s v="NA"/>
    <x v="0"/>
  </r>
  <r>
    <s v="AP10613"/>
    <x v="4"/>
    <x v="463"/>
    <d v="2023-07-08T00:00:00"/>
    <n v="1242.77"/>
    <x v="4"/>
    <x v="0"/>
    <s v="NA"/>
    <x v="0"/>
  </r>
  <r>
    <s v="AP10614"/>
    <x v="3"/>
    <x v="464"/>
    <d v="2023-02-16T00:00:00"/>
    <n v="1253.18"/>
    <x v="0"/>
    <x v="0"/>
    <s v="NA"/>
    <x v="0"/>
  </r>
  <r>
    <s v="AP10615"/>
    <x v="2"/>
    <x v="465"/>
    <d v="2024-01-17T00:00:00"/>
    <n v="1423.03"/>
    <x v="2"/>
    <x v="0"/>
    <s v="NA"/>
    <x v="0"/>
  </r>
  <r>
    <s v="AP10616"/>
    <x v="3"/>
    <x v="121"/>
    <d v="2023-02-13T00:00:00"/>
    <n v="908.37"/>
    <x v="0"/>
    <x v="2"/>
    <d v="2023-02-13T00:00:00"/>
    <x v="0"/>
  </r>
  <r>
    <s v="AP10617"/>
    <x v="0"/>
    <x v="466"/>
    <d v="2024-12-11T00:00:00"/>
    <n v="4103.24"/>
    <x v="2"/>
    <x v="0"/>
    <s v="NA"/>
    <x v="0"/>
  </r>
  <r>
    <s v="AP10618"/>
    <x v="3"/>
    <x v="467"/>
    <d v="2024-11-25T00:00:00"/>
    <n v="2557.84"/>
    <x v="2"/>
    <x v="1"/>
    <s v="NA"/>
    <x v="0"/>
  </r>
  <r>
    <s v="AP10619"/>
    <x v="1"/>
    <x v="468"/>
    <d v="2023-01-31T00:00:00"/>
    <n v="4192.79"/>
    <x v="4"/>
    <x v="1"/>
    <s v="NA"/>
    <x v="0"/>
  </r>
  <r>
    <s v="AP10620"/>
    <x v="2"/>
    <x v="161"/>
    <d v="2024-12-09T00:00:00"/>
    <n v="2144.7199999999998"/>
    <x v="4"/>
    <x v="1"/>
    <s v="NA"/>
    <x v="0"/>
  </r>
  <r>
    <s v="AP10621"/>
    <x v="2"/>
    <x v="469"/>
    <d v="2024-12-08T00:00:00"/>
    <n v="669.43"/>
    <x v="3"/>
    <x v="0"/>
    <s v="NA"/>
    <x v="0"/>
  </r>
  <r>
    <s v="AP10622"/>
    <x v="0"/>
    <x v="268"/>
    <d v="2025-03-31T00:00:00"/>
    <n v="2583.87"/>
    <x v="4"/>
    <x v="2"/>
    <d v="2025-03-31T00:00:00"/>
    <x v="0"/>
  </r>
  <r>
    <s v="AP10623"/>
    <x v="1"/>
    <x v="470"/>
    <d v="2025-02-25T00:00:00"/>
    <n v="2870.13"/>
    <x v="2"/>
    <x v="0"/>
    <s v="NA"/>
    <x v="0"/>
  </r>
  <r>
    <s v="AP10624"/>
    <x v="3"/>
    <x v="158"/>
    <d v="2025-05-01T00:00:00"/>
    <n v="308.64"/>
    <x v="1"/>
    <x v="0"/>
    <s v="NA"/>
    <x v="0"/>
  </r>
  <r>
    <s v="AP10625"/>
    <x v="1"/>
    <x v="422"/>
    <d v="2024-10-07T00:00:00"/>
    <n v="754.61"/>
    <x v="3"/>
    <x v="2"/>
    <d v="2024-10-07T00:00:00"/>
    <x v="0"/>
  </r>
  <r>
    <s v="AP10626"/>
    <x v="3"/>
    <x v="471"/>
    <d v="2025-06-21T00:00:00"/>
    <n v="1564.86"/>
    <x v="0"/>
    <x v="0"/>
    <s v="NA"/>
    <x v="0"/>
  </r>
  <r>
    <s v="AP10627"/>
    <x v="1"/>
    <x v="426"/>
    <d v="2023-02-14T00:00:00"/>
    <n v="2205.11"/>
    <x v="2"/>
    <x v="1"/>
    <s v="NA"/>
    <x v="0"/>
  </r>
  <r>
    <s v="AP10628"/>
    <x v="3"/>
    <x v="472"/>
    <d v="2024-06-08T00:00:00"/>
    <n v="562.79999999999995"/>
    <x v="2"/>
    <x v="1"/>
    <s v="NA"/>
    <x v="0"/>
  </r>
  <r>
    <s v="AP10629"/>
    <x v="0"/>
    <x v="473"/>
    <d v="2023-04-01T00:00:00"/>
    <n v="3911.54"/>
    <x v="3"/>
    <x v="1"/>
    <s v="NA"/>
    <x v="0"/>
  </r>
  <r>
    <s v="AP10630"/>
    <x v="4"/>
    <x v="474"/>
    <d v="2025-07-28T00:00:00"/>
    <n v="3891.61"/>
    <x v="1"/>
    <x v="1"/>
    <s v="NA"/>
    <x v="0"/>
  </r>
  <r>
    <s v="AP10631"/>
    <x v="2"/>
    <x v="475"/>
    <d v="2023-03-17T00:00:00"/>
    <n v="2302.46"/>
    <x v="2"/>
    <x v="0"/>
    <s v="NA"/>
    <x v="0"/>
  </r>
  <r>
    <s v="AP10632"/>
    <x v="3"/>
    <x v="182"/>
    <d v="2024-05-06T00:00:00"/>
    <n v="3723.61"/>
    <x v="3"/>
    <x v="0"/>
    <s v="NA"/>
    <x v="0"/>
  </r>
  <r>
    <s v="AP10633"/>
    <x v="0"/>
    <x v="413"/>
    <d v="2024-03-27T00:00:00"/>
    <n v="2892.87"/>
    <x v="0"/>
    <x v="0"/>
    <s v="NA"/>
    <x v="0"/>
  </r>
  <r>
    <s v="AP10634"/>
    <x v="2"/>
    <x v="476"/>
    <d v="2025-01-23T00:00:00"/>
    <n v="2261.7399999999998"/>
    <x v="2"/>
    <x v="0"/>
    <s v="NA"/>
    <x v="0"/>
  </r>
  <r>
    <s v="AP10635"/>
    <x v="3"/>
    <x v="361"/>
    <d v="2024-04-09T00:00:00"/>
    <n v="3900.62"/>
    <x v="4"/>
    <x v="1"/>
    <s v="NA"/>
    <x v="0"/>
  </r>
  <r>
    <s v="AP10636"/>
    <x v="3"/>
    <x v="477"/>
    <d v="2024-06-06T00:00:00"/>
    <n v="4377.2"/>
    <x v="2"/>
    <x v="0"/>
    <s v="NA"/>
    <x v="0"/>
  </r>
  <r>
    <s v="AP10637"/>
    <x v="4"/>
    <x v="347"/>
    <d v="2025-02-12T00:00:00"/>
    <n v="4656.51"/>
    <x v="4"/>
    <x v="2"/>
    <d v="2025-02-12T00:00:00"/>
    <x v="0"/>
  </r>
  <r>
    <s v="AP10638"/>
    <x v="2"/>
    <x v="195"/>
    <d v="2025-03-18T00:00:00"/>
    <n v="4576.1099999999997"/>
    <x v="3"/>
    <x v="0"/>
    <s v="NA"/>
    <x v="0"/>
  </r>
  <r>
    <s v="AP10639"/>
    <x v="3"/>
    <x v="478"/>
    <d v="2025-06-03T00:00:00"/>
    <n v="1039.52"/>
    <x v="0"/>
    <x v="1"/>
    <s v="NA"/>
    <x v="0"/>
  </r>
  <r>
    <s v="AP10640"/>
    <x v="4"/>
    <x v="479"/>
    <d v="2023-10-02T00:00:00"/>
    <n v="179.18"/>
    <x v="2"/>
    <x v="2"/>
    <d v="2023-10-02T00:00:00"/>
    <x v="0"/>
  </r>
  <r>
    <s v="AP10641"/>
    <x v="2"/>
    <x v="294"/>
    <d v="2023-12-05T00:00:00"/>
    <n v="2198.02"/>
    <x v="4"/>
    <x v="2"/>
    <d v="2023-12-05T00:00:00"/>
    <x v="0"/>
  </r>
  <r>
    <s v="AP10642"/>
    <x v="1"/>
    <x v="217"/>
    <d v="2024-04-10T00:00:00"/>
    <n v="3150.23"/>
    <x v="4"/>
    <x v="1"/>
    <s v="NA"/>
    <x v="0"/>
  </r>
  <r>
    <s v="AP10643"/>
    <x v="1"/>
    <x v="480"/>
    <d v="2023-12-06T00:00:00"/>
    <n v="4973.37"/>
    <x v="4"/>
    <x v="1"/>
    <s v="NA"/>
    <x v="0"/>
  </r>
  <r>
    <s v="AP10644"/>
    <x v="2"/>
    <x v="338"/>
    <d v="2025-05-10T00:00:00"/>
    <n v="4507.3999999999996"/>
    <x v="1"/>
    <x v="2"/>
    <d v="2025-05-10T00:00:00"/>
    <x v="0"/>
  </r>
  <r>
    <s v="AP10645"/>
    <x v="0"/>
    <x v="481"/>
    <d v="2023-08-17T00:00:00"/>
    <n v="2432.37"/>
    <x v="2"/>
    <x v="1"/>
    <s v="NA"/>
    <x v="0"/>
  </r>
  <r>
    <s v="AP10646"/>
    <x v="3"/>
    <x v="479"/>
    <d v="2023-10-02T00:00:00"/>
    <n v="3421.02"/>
    <x v="4"/>
    <x v="0"/>
    <s v="NA"/>
    <x v="0"/>
  </r>
  <r>
    <s v="AP10647"/>
    <x v="3"/>
    <x v="421"/>
    <d v="2023-09-07T00:00:00"/>
    <n v="223.05"/>
    <x v="2"/>
    <x v="2"/>
    <d v="2023-09-07T00:00:00"/>
    <x v="0"/>
  </r>
  <r>
    <s v="AP10648"/>
    <x v="0"/>
    <x v="444"/>
    <d v="2024-07-12T00:00:00"/>
    <n v="599.71"/>
    <x v="3"/>
    <x v="0"/>
    <s v="NA"/>
    <x v="0"/>
  </r>
  <r>
    <s v="AP10649"/>
    <x v="0"/>
    <x v="482"/>
    <d v="2023-05-13T00:00:00"/>
    <n v="4739.08"/>
    <x v="0"/>
    <x v="1"/>
    <s v="NA"/>
    <x v="0"/>
  </r>
  <r>
    <s v="AP10650"/>
    <x v="2"/>
    <x v="483"/>
    <d v="2024-12-13T00:00:00"/>
    <n v="332.35"/>
    <x v="4"/>
    <x v="1"/>
    <s v="NA"/>
    <x v="0"/>
  </r>
  <r>
    <s v="AP10651"/>
    <x v="0"/>
    <x v="146"/>
    <d v="2024-08-01T00:00:00"/>
    <n v="4746.3999999999996"/>
    <x v="3"/>
    <x v="2"/>
    <d v="2024-08-01T00:00:00"/>
    <x v="0"/>
  </r>
  <r>
    <s v="AP10652"/>
    <x v="2"/>
    <x v="484"/>
    <d v="2023-08-05T00:00:00"/>
    <n v="4124.6000000000004"/>
    <x v="2"/>
    <x v="0"/>
    <s v="NA"/>
    <x v="0"/>
  </r>
  <r>
    <s v="AP10653"/>
    <x v="4"/>
    <x v="485"/>
    <d v="2023-07-06T00:00:00"/>
    <n v="1630.69"/>
    <x v="2"/>
    <x v="2"/>
    <d v="2023-07-06T00:00:00"/>
    <x v="0"/>
  </r>
  <r>
    <s v="AP10654"/>
    <x v="3"/>
    <x v="155"/>
    <d v="2024-10-14T00:00:00"/>
    <n v="4643.99"/>
    <x v="2"/>
    <x v="1"/>
    <s v="NA"/>
    <x v="0"/>
  </r>
  <r>
    <s v="AP10655"/>
    <x v="1"/>
    <x v="372"/>
    <d v="2023-10-29T00:00:00"/>
    <n v="121.66"/>
    <x v="1"/>
    <x v="0"/>
    <s v="NA"/>
    <x v="0"/>
  </r>
  <r>
    <s v="AP10656"/>
    <x v="2"/>
    <x v="83"/>
    <d v="2023-08-03T00:00:00"/>
    <n v="2464.2399999999998"/>
    <x v="3"/>
    <x v="1"/>
    <s v="NA"/>
    <x v="0"/>
  </r>
  <r>
    <s v="AP10657"/>
    <x v="4"/>
    <x v="486"/>
    <d v="2024-01-10T00:00:00"/>
    <n v="4354.51"/>
    <x v="2"/>
    <x v="1"/>
    <s v="NA"/>
    <x v="0"/>
  </r>
  <r>
    <s v="AP10658"/>
    <x v="4"/>
    <x v="106"/>
    <d v="2024-01-12T00:00:00"/>
    <n v="1809.68"/>
    <x v="3"/>
    <x v="1"/>
    <s v="NA"/>
    <x v="0"/>
  </r>
  <r>
    <s v="AP10659"/>
    <x v="4"/>
    <x v="204"/>
    <d v="2024-11-22T00:00:00"/>
    <n v="4448.67"/>
    <x v="3"/>
    <x v="0"/>
    <s v="NA"/>
    <x v="0"/>
  </r>
  <r>
    <s v="AP10660"/>
    <x v="1"/>
    <x v="293"/>
    <d v="2025-07-02T00:00:00"/>
    <n v="3810.59"/>
    <x v="1"/>
    <x v="2"/>
    <d v="2025-07-02T00:00:00"/>
    <x v="0"/>
  </r>
  <r>
    <s v="AP10661"/>
    <x v="4"/>
    <x v="393"/>
    <d v="2024-06-20T00:00:00"/>
    <n v="4234.42"/>
    <x v="4"/>
    <x v="0"/>
    <s v="NA"/>
    <x v="0"/>
  </r>
  <r>
    <s v="AP10662"/>
    <x v="0"/>
    <x v="290"/>
    <d v="2024-02-29T00:00:00"/>
    <n v="2754.86"/>
    <x v="2"/>
    <x v="1"/>
    <s v="NA"/>
    <x v="0"/>
  </r>
  <r>
    <s v="AP10663"/>
    <x v="4"/>
    <x v="203"/>
    <d v="2025-03-25T00:00:00"/>
    <n v="3198.07"/>
    <x v="2"/>
    <x v="1"/>
    <s v="NA"/>
    <x v="0"/>
  </r>
  <r>
    <s v="AP10664"/>
    <x v="0"/>
    <x v="487"/>
    <d v="2023-11-01T00:00:00"/>
    <n v="3984.98"/>
    <x v="0"/>
    <x v="1"/>
    <s v="NA"/>
    <x v="0"/>
  </r>
  <r>
    <s v="AP10665"/>
    <x v="3"/>
    <x v="430"/>
    <d v="2023-07-19T00:00:00"/>
    <n v="4810.12"/>
    <x v="3"/>
    <x v="0"/>
    <s v="NA"/>
    <x v="0"/>
  </r>
  <r>
    <s v="AP10666"/>
    <x v="2"/>
    <x v="108"/>
    <d v="2024-02-19T00:00:00"/>
    <n v="4712.91"/>
    <x v="0"/>
    <x v="0"/>
    <s v="NA"/>
    <x v="0"/>
  </r>
  <r>
    <s v="AP10667"/>
    <x v="0"/>
    <x v="488"/>
    <d v="2025-03-06T00:00:00"/>
    <n v="4624.82"/>
    <x v="4"/>
    <x v="2"/>
    <d v="2025-03-06T00:00:00"/>
    <x v="0"/>
  </r>
  <r>
    <s v="AP10668"/>
    <x v="4"/>
    <x v="394"/>
    <d v="2024-09-17T00:00:00"/>
    <n v="3779.89"/>
    <x v="1"/>
    <x v="0"/>
    <s v="NA"/>
    <x v="0"/>
  </r>
  <r>
    <s v="AP10669"/>
    <x v="3"/>
    <x v="405"/>
    <d v="2023-08-10T00:00:00"/>
    <n v="528.42999999999995"/>
    <x v="2"/>
    <x v="1"/>
    <s v="NA"/>
    <x v="0"/>
  </r>
  <r>
    <s v="AP10670"/>
    <x v="2"/>
    <x v="489"/>
    <d v="2024-02-13T00:00:00"/>
    <n v="3542.71"/>
    <x v="4"/>
    <x v="2"/>
    <d v="2024-02-13T00:00:00"/>
    <x v="0"/>
  </r>
  <r>
    <s v="AP10671"/>
    <x v="2"/>
    <x v="490"/>
    <d v="2025-07-16T00:00:00"/>
    <n v="1625.04"/>
    <x v="2"/>
    <x v="2"/>
    <d v="2025-07-16T00:00:00"/>
    <x v="0"/>
  </r>
  <r>
    <s v="AP10672"/>
    <x v="1"/>
    <x v="491"/>
    <d v="2023-11-13T00:00:00"/>
    <n v="3513.91"/>
    <x v="4"/>
    <x v="1"/>
    <s v="NA"/>
    <x v="0"/>
  </r>
  <r>
    <s v="AP10673"/>
    <x v="4"/>
    <x v="492"/>
    <d v="2023-07-02T00:00:00"/>
    <n v="1005.78"/>
    <x v="2"/>
    <x v="2"/>
    <d v="2023-07-02T00:00:00"/>
    <x v="0"/>
  </r>
  <r>
    <s v="AP10674"/>
    <x v="4"/>
    <x v="68"/>
    <d v="2025-07-13T00:00:00"/>
    <n v="4800.13"/>
    <x v="4"/>
    <x v="1"/>
    <s v="NA"/>
    <x v="0"/>
  </r>
  <r>
    <s v="AP10675"/>
    <x v="2"/>
    <x v="493"/>
    <d v="2025-05-13T00:00:00"/>
    <n v="2790.67"/>
    <x v="4"/>
    <x v="1"/>
    <s v="NA"/>
    <x v="0"/>
  </r>
  <r>
    <s v="AP10676"/>
    <x v="4"/>
    <x v="461"/>
    <d v="2023-04-02T00:00:00"/>
    <n v="3677.45"/>
    <x v="2"/>
    <x v="0"/>
    <s v="NA"/>
    <x v="0"/>
  </r>
  <r>
    <s v="AP10677"/>
    <x v="1"/>
    <x v="494"/>
    <d v="2023-02-28T00:00:00"/>
    <n v="2795.97"/>
    <x v="4"/>
    <x v="1"/>
    <s v="NA"/>
    <x v="0"/>
  </r>
  <r>
    <s v="AP10678"/>
    <x v="1"/>
    <x v="113"/>
    <d v="2023-09-13T00:00:00"/>
    <n v="3609.91"/>
    <x v="0"/>
    <x v="0"/>
    <s v="NA"/>
    <x v="0"/>
  </r>
  <r>
    <s v="AP10679"/>
    <x v="2"/>
    <x v="139"/>
    <d v="2024-07-24T00:00:00"/>
    <n v="415.41"/>
    <x v="1"/>
    <x v="0"/>
    <s v="NA"/>
    <x v="0"/>
  </r>
  <r>
    <s v="AP10680"/>
    <x v="0"/>
    <x v="495"/>
    <d v="2024-06-28T00:00:00"/>
    <n v="3262.02"/>
    <x v="0"/>
    <x v="1"/>
    <s v="NA"/>
    <x v="0"/>
  </r>
  <r>
    <s v="AP10681"/>
    <x v="1"/>
    <x v="496"/>
    <d v="2024-09-09T00:00:00"/>
    <n v="386.52"/>
    <x v="0"/>
    <x v="0"/>
    <s v="NA"/>
    <x v="0"/>
  </r>
  <r>
    <s v="AP10682"/>
    <x v="4"/>
    <x v="497"/>
    <d v="2023-09-11T00:00:00"/>
    <n v="3339.93"/>
    <x v="2"/>
    <x v="1"/>
    <s v="NA"/>
    <x v="0"/>
  </r>
  <r>
    <s v="AP10683"/>
    <x v="2"/>
    <x v="12"/>
    <d v="2023-06-18T00:00:00"/>
    <n v="4195.2"/>
    <x v="0"/>
    <x v="1"/>
    <s v="NA"/>
    <x v="0"/>
  </r>
  <r>
    <s v="AP10684"/>
    <x v="2"/>
    <x v="12"/>
    <d v="2023-06-18T00:00:00"/>
    <n v="2911.89"/>
    <x v="0"/>
    <x v="0"/>
    <s v="NA"/>
    <x v="0"/>
  </r>
  <r>
    <s v="AP10685"/>
    <x v="4"/>
    <x v="498"/>
    <d v="2025-04-29T00:00:00"/>
    <n v="1595.21"/>
    <x v="1"/>
    <x v="0"/>
    <s v="NA"/>
    <x v="0"/>
  </r>
  <r>
    <s v="AP10686"/>
    <x v="2"/>
    <x v="499"/>
    <d v="2023-05-07T00:00:00"/>
    <n v="2246.04"/>
    <x v="0"/>
    <x v="0"/>
    <s v="NA"/>
    <x v="0"/>
  </r>
  <r>
    <s v="AP10687"/>
    <x v="4"/>
    <x v="500"/>
    <d v="2024-01-31T00:00:00"/>
    <n v="560.41999999999996"/>
    <x v="0"/>
    <x v="2"/>
    <d v="2024-01-31T00:00:00"/>
    <x v="0"/>
  </r>
  <r>
    <s v="AP10688"/>
    <x v="3"/>
    <x v="501"/>
    <d v="2023-12-29T00:00:00"/>
    <n v="1796.7"/>
    <x v="0"/>
    <x v="0"/>
    <s v="NA"/>
    <x v="0"/>
  </r>
  <r>
    <s v="AP10689"/>
    <x v="1"/>
    <x v="502"/>
    <d v="2024-07-01T00:00:00"/>
    <n v="1049.54"/>
    <x v="0"/>
    <x v="1"/>
    <s v="NA"/>
    <x v="0"/>
  </r>
  <r>
    <s v="AP10690"/>
    <x v="2"/>
    <x v="503"/>
    <d v="2023-10-09T00:00:00"/>
    <n v="2858.31"/>
    <x v="0"/>
    <x v="0"/>
    <s v="NA"/>
    <x v="0"/>
  </r>
  <r>
    <s v="AP10691"/>
    <x v="2"/>
    <x v="52"/>
    <d v="2024-01-18T00:00:00"/>
    <n v="2144.37"/>
    <x v="1"/>
    <x v="0"/>
    <s v="NA"/>
    <x v="0"/>
  </r>
  <r>
    <s v="AP10692"/>
    <x v="3"/>
    <x v="231"/>
    <d v="2025-07-07T00:00:00"/>
    <n v="1051.29"/>
    <x v="0"/>
    <x v="2"/>
    <d v="2025-07-07T00:00:00"/>
    <x v="0"/>
  </r>
  <r>
    <s v="AP10693"/>
    <x v="3"/>
    <x v="504"/>
    <d v="2023-04-20T00:00:00"/>
    <n v="212.66"/>
    <x v="3"/>
    <x v="1"/>
    <s v="NA"/>
    <x v="0"/>
  </r>
  <r>
    <s v="AP10694"/>
    <x v="1"/>
    <x v="486"/>
    <d v="2024-01-10T00:00:00"/>
    <n v="2649.88"/>
    <x v="0"/>
    <x v="2"/>
    <d v="2024-01-10T00:00:00"/>
    <x v="0"/>
  </r>
  <r>
    <s v="AP10695"/>
    <x v="0"/>
    <x v="137"/>
    <d v="2023-06-27T00:00:00"/>
    <n v="2025.22"/>
    <x v="2"/>
    <x v="0"/>
    <s v="NA"/>
    <x v="0"/>
  </r>
  <r>
    <s v="AP10696"/>
    <x v="1"/>
    <x v="373"/>
    <d v="2025-06-01T00:00:00"/>
    <n v="2110.4899999999998"/>
    <x v="2"/>
    <x v="2"/>
    <d v="2025-06-01T00:00:00"/>
    <x v="0"/>
  </r>
  <r>
    <s v="AP10697"/>
    <x v="1"/>
    <x v="376"/>
    <d v="2024-12-28T00:00:00"/>
    <n v="4740.3"/>
    <x v="1"/>
    <x v="2"/>
    <d v="2024-12-28T00:00:00"/>
    <x v="0"/>
  </r>
  <r>
    <s v="AP10698"/>
    <x v="4"/>
    <x v="367"/>
    <d v="2024-11-05T00:00:00"/>
    <n v="2511.0500000000002"/>
    <x v="1"/>
    <x v="1"/>
    <s v="NA"/>
    <x v="0"/>
  </r>
  <r>
    <s v="AP10699"/>
    <x v="1"/>
    <x v="505"/>
    <d v="2024-07-16T00:00:00"/>
    <n v="1198.06"/>
    <x v="3"/>
    <x v="0"/>
    <s v="NA"/>
    <x v="0"/>
  </r>
  <r>
    <s v="AP10700"/>
    <x v="2"/>
    <x v="506"/>
    <d v="2024-12-31T00:00:00"/>
    <n v="4648.54"/>
    <x v="3"/>
    <x v="1"/>
    <s v="NA"/>
    <x v="0"/>
  </r>
  <r>
    <s v="AP10701"/>
    <x v="3"/>
    <x v="279"/>
    <d v="2024-05-09T00:00:00"/>
    <n v="1123.9000000000001"/>
    <x v="3"/>
    <x v="0"/>
    <s v="NA"/>
    <x v="0"/>
  </r>
  <r>
    <s v="AP10702"/>
    <x v="0"/>
    <x v="486"/>
    <d v="2024-01-10T00:00:00"/>
    <n v="137.11000000000001"/>
    <x v="3"/>
    <x v="1"/>
    <s v="NA"/>
    <x v="0"/>
  </r>
  <r>
    <s v="AP10703"/>
    <x v="0"/>
    <x v="191"/>
    <d v="2024-07-02T00:00:00"/>
    <n v="1824.99"/>
    <x v="0"/>
    <x v="2"/>
    <d v="2024-07-02T00:00:00"/>
    <x v="0"/>
  </r>
  <r>
    <s v="AP10704"/>
    <x v="3"/>
    <x v="492"/>
    <d v="2023-07-02T00:00:00"/>
    <n v="3916.78"/>
    <x v="2"/>
    <x v="1"/>
    <s v="NA"/>
    <x v="0"/>
  </r>
  <r>
    <s v="AP10705"/>
    <x v="2"/>
    <x v="123"/>
    <d v="2023-07-14T00:00:00"/>
    <n v="4748.8999999999996"/>
    <x v="4"/>
    <x v="1"/>
    <s v="NA"/>
    <x v="0"/>
  </r>
  <r>
    <s v="AP10706"/>
    <x v="4"/>
    <x v="507"/>
    <d v="2025-05-23T00:00:00"/>
    <n v="2620.19"/>
    <x v="0"/>
    <x v="0"/>
    <s v="NA"/>
    <x v="0"/>
  </r>
  <r>
    <s v="AP10707"/>
    <x v="1"/>
    <x v="145"/>
    <d v="2023-04-04T00:00:00"/>
    <n v="3038.06"/>
    <x v="4"/>
    <x v="0"/>
    <s v="NA"/>
    <x v="0"/>
  </r>
  <r>
    <s v="AP10708"/>
    <x v="1"/>
    <x v="508"/>
    <d v="2024-01-14T00:00:00"/>
    <n v="1309.8800000000001"/>
    <x v="0"/>
    <x v="2"/>
    <d v="2024-01-14T00:00:00"/>
    <x v="0"/>
  </r>
  <r>
    <s v="AP10709"/>
    <x v="2"/>
    <x v="107"/>
    <d v="2023-05-12T00:00:00"/>
    <n v="3542.51"/>
    <x v="2"/>
    <x v="2"/>
    <d v="2023-05-12T00:00:00"/>
    <x v="0"/>
  </r>
  <r>
    <s v="AP10710"/>
    <x v="0"/>
    <x v="509"/>
    <d v="2023-03-31T00:00:00"/>
    <n v="1785.99"/>
    <x v="4"/>
    <x v="1"/>
    <s v="NA"/>
    <x v="0"/>
  </r>
  <r>
    <s v="AP10711"/>
    <x v="1"/>
    <x v="510"/>
    <d v="2023-09-19T00:00:00"/>
    <n v="2979.86"/>
    <x v="1"/>
    <x v="2"/>
    <d v="2023-09-19T00:00:00"/>
    <x v="0"/>
  </r>
  <r>
    <s v="AP10712"/>
    <x v="3"/>
    <x v="141"/>
    <d v="2023-09-15T00:00:00"/>
    <n v="3891.24"/>
    <x v="2"/>
    <x v="1"/>
    <s v="NA"/>
    <x v="0"/>
  </r>
  <r>
    <s v="AP10713"/>
    <x v="1"/>
    <x v="511"/>
    <d v="2025-03-12T00:00:00"/>
    <n v="4674.42"/>
    <x v="3"/>
    <x v="2"/>
    <d v="2025-03-12T00:00:00"/>
    <x v="0"/>
  </r>
  <r>
    <s v="AP10714"/>
    <x v="0"/>
    <x v="332"/>
    <d v="2024-07-21T00:00:00"/>
    <n v="2370.71"/>
    <x v="2"/>
    <x v="1"/>
    <s v="NA"/>
    <x v="0"/>
  </r>
  <r>
    <s v="AP10715"/>
    <x v="0"/>
    <x v="319"/>
    <d v="2023-09-29T00:00:00"/>
    <n v="2872.68"/>
    <x v="4"/>
    <x v="1"/>
    <s v="NA"/>
    <x v="0"/>
  </r>
  <r>
    <s v="AP10716"/>
    <x v="4"/>
    <x v="512"/>
    <d v="2023-12-16T00:00:00"/>
    <n v="1865.16"/>
    <x v="1"/>
    <x v="1"/>
    <s v="NA"/>
    <x v="0"/>
  </r>
  <r>
    <s v="AP10717"/>
    <x v="1"/>
    <x v="315"/>
    <d v="2023-04-19T00:00:00"/>
    <n v="2554.81"/>
    <x v="4"/>
    <x v="2"/>
    <d v="2023-04-19T00:00:00"/>
    <x v="0"/>
  </r>
  <r>
    <s v="AP10718"/>
    <x v="0"/>
    <x v="513"/>
    <d v="2024-12-19T00:00:00"/>
    <n v="4346.0600000000004"/>
    <x v="2"/>
    <x v="2"/>
    <d v="2024-12-19T00:00:00"/>
    <x v="0"/>
  </r>
  <r>
    <s v="AP10719"/>
    <x v="0"/>
    <x v="514"/>
    <d v="2024-03-15T00:00:00"/>
    <n v="3898.42"/>
    <x v="2"/>
    <x v="2"/>
    <d v="2024-03-15T00:00:00"/>
    <x v="0"/>
  </r>
  <r>
    <s v="AP10720"/>
    <x v="4"/>
    <x v="515"/>
    <d v="2024-08-10T00:00:00"/>
    <n v="4765.16"/>
    <x v="0"/>
    <x v="0"/>
    <s v="NA"/>
    <x v="0"/>
  </r>
  <r>
    <s v="AP10721"/>
    <x v="2"/>
    <x v="248"/>
    <d v="2024-08-13T00:00:00"/>
    <n v="1994.49"/>
    <x v="0"/>
    <x v="0"/>
    <s v="NA"/>
    <x v="0"/>
  </r>
  <r>
    <s v="AP10722"/>
    <x v="1"/>
    <x v="516"/>
    <d v="2023-04-03T00:00:00"/>
    <n v="4230.24"/>
    <x v="2"/>
    <x v="0"/>
    <s v="NA"/>
    <x v="0"/>
  </r>
  <r>
    <s v="AP10723"/>
    <x v="2"/>
    <x v="74"/>
    <d v="2024-10-21T00:00:00"/>
    <n v="1606.15"/>
    <x v="1"/>
    <x v="1"/>
    <s v="NA"/>
    <x v="0"/>
  </r>
  <r>
    <s v="AP10724"/>
    <x v="3"/>
    <x v="517"/>
    <d v="2024-10-27T00:00:00"/>
    <n v="158.24"/>
    <x v="4"/>
    <x v="0"/>
    <s v="NA"/>
    <x v="0"/>
  </r>
  <r>
    <s v="AP10725"/>
    <x v="1"/>
    <x v="518"/>
    <d v="2023-08-22T00:00:00"/>
    <n v="4538.8900000000003"/>
    <x v="1"/>
    <x v="2"/>
    <d v="2023-08-22T00:00:00"/>
    <x v="0"/>
  </r>
  <r>
    <s v="AP10726"/>
    <x v="4"/>
    <x v="519"/>
    <d v="2024-12-07T00:00:00"/>
    <n v="204.27"/>
    <x v="0"/>
    <x v="0"/>
    <s v="NA"/>
    <x v="0"/>
  </r>
  <r>
    <s v="AP10727"/>
    <x v="2"/>
    <x v="520"/>
    <d v="2023-08-19T00:00:00"/>
    <n v="3257.13"/>
    <x v="2"/>
    <x v="1"/>
    <s v="NA"/>
    <x v="0"/>
  </r>
  <r>
    <s v="AP10728"/>
    <x v="0"/>
    <x v="11"/>
    <d v="2024-11-09T00:00:00"/>
    <n v="488.64"/>
    <x v="4"/>
    <x v="2"/>
    <d v="2024-11-09T00:00:00"/>
    <x v="0"/>
  </r>
  <r>
    <s v="AP10729"/>
    <x v="2"/>
    <x v="521"/>
    <d v="2023-12-09T00:00:00"/>
    <n v="2790.33"/>
    <x v="2"/>
    <x v="1"/>
    <s v="NA"/>
    <x v="0"/>
  </r>
  <r>
    <s v="AP10730"/>
    <x v="0"/>
    <x v="71"/>
    <d v="2023-10-18T00:00:00"/>
    <n v="1246.1199999999999"/>
    <x v="1"/>
    <x v="1"/>
    <s v="NA"/>
    <x v="0"/>
  </r>
  <r>
    <s v="AP10731"/>
    <x v="1"/>
    <x v="126"/>
    <d v="2024-07-28T00:00:00"/>
    <n v="2390.31"/>
    <x v="3"/>
    <x v="0"/>
    <s v="NA"/>
    <x v="0"/>
  </r>
  <r>
    <s v="AP10732"/>
    <x v="2"/>
    <x v="522"/>
    <d v="2024-02-11T00:00:00"/>
    <n v="3697.86"/>
    <x v="0"/>
    <x v="1"/>
    <s v="NA"/>
    <x v="0"/>
  </r>
  <r>
    <s v="AP10733"/>
    <x v="0"/>
    <x v="523"/>
    <d v="2025-06-26T00:00:00"/>
    <n v="3404.52"/>
    <x v="2"/>
    <x v="0"/>
    <s v="NA"/>
    <x v="0"/>
  </r>
  <r>
    <s v="AP10734"/>
    <x v="2"/>
    <x v="524"/>
    <d v="2025-03-23T00:00:00"/>
    <n v="3730.17"/>
    <x v="2"/>
    <x v="0"/>
    <s v="NA"/>
    <x v="0"/>
  </r>
  <r>
    <s v="AP10735"/>
    <x v="4"/>
    <x v="210"/>
    <d v="2025-05-25T00:00:00"/>
    <n v="199.45"/>
    <x v="4"/>
    <x v="1"/>
    <s v="NA"/>
    <x v="0"/>
  </r>
  <r>
    <s v="AP10736"/>
    <x v="2"/>
    <x v="6"/>
    <d v="2025-01-19T00:00:00"/>
    <n v="4466.8"/>
    <x v="4"/>
    <x v="0"/>
    <s v="NA"/>
    <x v="0"/>
  </r>
  <r>
    <s v="AP10737"/>
    <x v="3"/>
    <x v="189"/>
    <d v="2025-06-27T00:00:00"/>
    <n v="4368.08"/>
    <x v="2"/>
    <x v="2"/>
    <d v="2025-06-27T00:00:00"/>
    <x v="0"/>
  </r>
  <r>
    <s v="AP10738"/>
    <x v="0"/>
    <x v="214"/>
    <d v="2024-01-08T00:00:00"/>
    <n v="2910.39"/>
    <x v="0"/>
    <x v="2"/>
    <d v="2024-01-08T00:00:00"/>
    <x v="0"/>
  </r>
  <r>
    <s v="AP10739"/>
    <x v="1"/>
    <x v="363"/>
    <d v="2023-04-21T00:00:00"/>
    <n v="3087.9"/>
    <x v="1"/>
    <x v="2"/>
    <d v="2023-04-21T00:00:00"/>
    <x v="0"/>
  </r>
  <r>
    <s v="AP10740"/>
    <x v="2"/>
    <x v="525"/>
    <d v="2023-10-14T00:00:00"/>
    <n v="3956.78"/>
    <x v="1"/>
    <x v="2"/>
    <d v="2023-10-14T00:00:00"/>
    <x v="0"/>
  </r>
  <r>
    <s v="AP10741"/>
    <x v="1"/>
    <x v="526"/>
    <d v="2023-11-22T00:00:00"/>
    <n v="1173.72"/>
    <x v="1"/>
    <x v="2"/>
    <d v="2023-11-22T00:00:00"/>
    <x v="0"/>
  </r>
  <r>
    <s v="AP10742"/>
    <x v="1"/>
    <x v="527"/>
    <d v="2024-04-07T00:00:00"/>
    <n v="3885.28"/>
    <x v="2"/>
    <x v="2"/>
    <d v="2024-04-07T00:00:00"/>
    <x v="0"/>
  </r>
  <r>
    <s v="AP10743"/>
    <x v="3"/>
    <x v="292"/>
    <d v="2024-01-07T00:00:00"/>
    <n v="211.34"/>
    <x v="3"/>
    <x v="0"/>
    <s v="NA"/>
    <x v="0"/>
  </r>
  <r>
    <s v="AP10744"/>
    <x v="4"/>
    <x v="375"/>
    <d v="2023-03-28T00:00:00"/>
    <n v="1345.89"/>
    <x v="4"/>
    <x v="2"/>
    <d v="2023-03-28T00:00:00"/>
    <x v="0"/>
  </r>
  <r>
    <s v="AP10745"/>
    <x v="2"/>
    <x v="528"/>
    <d v="2024-01-22T00:00:00"/>
    <n v="4777.7299999999996"/>
    <x v="0"/>
    <x v="1"/>
    <s v="NA"/>
    <x v="0"/>
  </r>
  <r>
    <s v="AP10746"/>
    <x v="0"/>
    <x v="529"/>
    <d v="2023-10-25T00:00:00"/>
    <n v="3137.33"/>
    <x v="4"/>
    <x v="0"/>
    <s v="NA"/>
    <x v="0"/>
  </r>
  <r>
    <s v="AP10747"/>
    <x v="3"/>
    <x v="530"/>
    <d v="2024-08-14T00:00:00"/>
    <n v="4831.5200000000004"/>
    <x v="0"/>
    <x v="1"/>
    <s v="NA"/>
    <x v="0"/>
  </r>
  <r>
    <s v="AP10748"/>
    <x v="0"/>
    <x v="290"/>
    <d v="2024-02-29T00:00:00"/>
    <n v="1343.46"/>
    <x v="1"/>
    <x v="1"/>
    <s v="NA"/>
    <x v="0"/>
  </r>
  <r>
    <s v="AP10749"/>
    <x v="0"/>
    <x v="274"/>
    <d v="2023-04-07T00:00:00"/>
    <n v="3815.88"/>
    <x v="1"/>
    <x v="1"/>
    <s v="NA"/>
    <x v="0"/>
  </r>
  <r>
    <s v="AP10750"/>
    <x v="2"/>
    <x v="285"/>
    <d v="2023-06-07T00:00:00"/>
    <n v="3428.98"/>
    <x v="2"/>
    <x v="2"/>
    <d v="2023-06-07T00:00:00"/>
    <x v="0"/>
  </r>
  <r>
    <s v="AP10751"/>
    <x v="0"/>
    <x v="287"/>
    <d v="2024-05-13T00:00:00"/>
    <n v="1265.55"/>
    <x v="2"/>
    <x v="1"/>
    <s v="NA"/>
    <x v="0"/>
  </r>
  <r>
    <s v="AP10752"/>
    <x v="3"/>
    <x v="382"/>
    <d v="2024-01-01T00:00:00"/>
    <n v="1377.49"/>
    <x v="4"/>
    <x v="2"/>
    <d v="2024-01-01T00:00:00"/>
    <x v="0"/>
  </r>
  <r>
    <s v="AP10753"/>
    <x v="0"/>
    <x v="531"/>
    <d v="2024-09-30T00:00:00"/>
    <n v="2125.3000000000002"/>
    <x v="0"/>
    <x v="1"/>
    <s v="NA"/>
    <x v="0"/>
  </r>
  <r>
    <s v="AP10754"/>
    <x v="1"/>
    <x v="58"/>
    <d v="2024-05-26T00:00:00"/>
    <n v="2582.08"/>
    <x v="2"/>
    <x v="2"/>
    <d v="2024-05-26T00:00:00"/>
    <x v="0"/>
  </r>
  <r>
    <s v="AP10755"/>
    <x v="4"/>
    <x v="278"/>
    <d v="2025-03-21T00:00:00"/>
    <n v="1722.33"/>
    <x v="2"/>
    <x v="2"/>
    <d v="2025-03-21T00:00:00"/>
    <x v="0"/>
  </r>
  <r>
    <s v="AP10756"/>
    <x v="4"/>
    <x v="532"/>
    <d v="2024-12-17T00:00:00"/>
    <n v="4374.09"/>
    <x v="0"/>
    <x v="1"/>
    <s v="NA"/>
    <x v="0"/>
  </r>
  <r>
    <s v="AP10757"/>
    <x v="0"/>
    <x v="50"/>
    <d v="2023-09-23T00:00:00"/>
    <n v="3289.59"/>
    <x v="1"/>
    <x v="0"/>
    <s v="NA"/>
    <x v="0"/>
  </r>
  <r>
    <s v="AP10758"/>
    <x v="2"/>
    <x v="533"/>
    <d v="2024-02-09T00:00:00"/>
    <n v="2204.2800000000002"/>
    <x v="3"/>
    <x v="2"/>
    <d v="2024-02-09T00:00:00"/>
    <x v="0"/>
  </r>
  <r>
    <s v="AP10759"/>
    <x v="2"/>
    <x v="534"/>
    <d v="2024-03-19T00:00:00"/>
    <n v="3457.45"/>
    <x v="2"/>
    <x v="0"/>
    <s v="NA"/>
    <x v="0"/>
  </r>
  <r>
    <s v="AP10760"/>
    <x v="4"/>
    <x v="285"/>
    <d v="2023-06-07T00:00:00"/>
    <n v="2571.9"/>
    <x v="3"/>
    <x v="2"/>
    <d v="2023-06-07T00:00:00"/>
    <x v="0"/>
  </r>
  <r>
    <s v="AP10761"/>
    <x v="0"/>
    <x v="221"/>
    <d v="2024-12-22T00:00:00"/>
    <n v="2573.94"/>
    <x v="0"/>
    <x v="2"/>
    <d v="2024-12-22T00:00:00"/>
    <x v="0"/>
  </r>
  <r>
    <s v="AP10762"/>
    <x v="0"/>
    <x v="271"/>
    <d v="2025-02-21T00:00:00"/>
    <n v="3760.26"/>
    <x v="3"/>
    <x v="0"/>
    <s v="NA"/>
    <x v="0"/>
  </r>
  <r>
    <s v="AP10763"/>
    <x v="4"/>
    <x v="535"/>
    <d v="2024-05-03T00:00:00"/>
    <n v="645.44000000000005"/>
    <x v="3"/>
    <x v="2"/>
    <d v="2024-05-03T00:00:00"/>
    <x v="0"/>
  </r>
  <r>
    <s v="AP10764"/>
    <x v="4"/>
    <x v="536"/>
    <d v="2023-09-09T00:00:00"/>
    <n v="948.66"/>
    <x v="2"/>
    <x v="2"/>
    <d v="2023-09-09T00:00:00"/>
    <x v="0"/>
  </r>
  <r>
    <s v="AP10765"/>
    <x v="4"/>
    <x v="442"/>
    <d v="2023-06-23T00:00:00"/>
    <n v="4936.8"/>
    <x v="4"/>
    <x v="2"/>
    <d v="2023-06-23T00:00:00"/>
    <x v="0"/>
  </r>
  <r>
    <s v="AP10766"/>
    <x v="2"/>
    <x v="461"/>
    <d v="2023-04-02T00:00:00"/>
    <n v="4286.67"/>
    <x v="3"/>
    <x v="2"/>
    <d v="2023-04-02T00:00:00"/>
    <x v="0"/>
  </r>
  <r>
    <s v="AP10767"/>
    <x v="1"/>
    <x v="537"/>
    <d v="2024-01-02T00:00:00"/>
    <n v="4346.29"/>
    <x v="2"/>
    <x v="1"/>
    <s v="NA"/>
    <x v="0"/>
  </r>
  <r>
    <s v="AP10768"/>
    <x v="1"/>
    <x v="538"/>
    <d v="2025-02-01T00:00:00"/>
    <n v="2978.71"/>
    <x v="2"/>
    <x v="1"/>
    <s v="NA"/>
    <x v="0"/>
  </r>
  <r>
    <s v="AP10769"/>
    <x v="2"/>
    <x v="253"/>
    <d v="2025-05-05T00:00:00"/>
    <n v="3489.97"/>
    <x v="1"/>
    <x v="0"/>
    <s v="NA"/>
    <x v="0"/>
  </r>
  <r>
    <s v="AP10770"/>
    <x v="3"/>
    <x v="369"/>
    <d v="2025-01-21T00:00:00"/>
    <n v="290.89999999999998"/>
    <x v="0"/>
    <x v="0"/>
    <s v="NA"/>
    <x v="0"/>
  </r>
  <r>
    <s v="AP10771"/>
    <x v="4"/>
    <x v="56"/>
    <d v="2025-04-08T00:00:00"/>
    <n v="2592.92"/>
    <x v="2"/>
    <x v="1"/>
    <s v="NA"/>
    <x v="0"/>
  </r>
  <r>
    <s v="AP10772"/>
    <x v="2"/>
    <x v="539"/>
    <d v="2024-08-31T00:00:00"/>
    <n v="4904.8599999999997"/>
    <x v="1"/>
    <x v="0"/>
    <s v="NA"/>
    <x v="0"/>
  </r>
  <r>
    <s v="AP10773"/>
    <x v="2"/>
    <x v="434"/>
    <d v="2025-04-21T00:00:00"/>
    <n v="2807.72"/>
    <x v="2"/>
    <x v="1"/>
    <s v="NA"/>
    <x v="0"/>
  </r>
  <r>
    <s v="AP10774"/>
    <x v="3"/>
    <x v="540"/>
    <d v="2025-03-30T00:00:00"/>
    <n v="3910.59"/>
    <x v="0"/>
    <x v="0"/>
    <s v="NA"/>
    <x v="0"/>
  </r>
  <r>
    <s v="AP10775"/>
    <x v="3"/>
    <x v="485"/>
    <d v="2023-07-06T00:00:00"/>
    <n v="1583.9"/>
    <x v="0"/>
    <x v="1"/>
    <s v="NA"/>
    <x v="0"/>
  </r>
  <r>
    <s v="AP10776"/>
    <x v="0"/>
    <x v="179"/>
    <d v="2025-04-06T00:00:00"/>
    <n v="734.99"/>
    <x v="2"/>
    <x v="1"/>
    <s v="NA"/>
    <x v="0"/>
  </r>
  <r>
    <s v="AP10777"/>
    <x v="2"/>
    <x v="213"/>
    <d v="2024-02-23T00:00:00"/>
    <n v="2547.7800000000002"/>
    <x v="4"/>
    <x v="0"/>
    <s v="NA"/>
    <x v="0"/>
  </r>
  <r>
    <s v="AP10778"/>
    <x v="2"/>
    <x v="541"/>
    <d v="2024-12-12T00:00:00"/>
    <n v="4777.6400000000003"/>
    <x v="4"/>
    <x v="1"/>
    <s v="NA"/>
    <x v="0"/>
  </r>
  <r>
    <s v="AP10779"/>
    <x v="1"/>
    <x v="542"/>
    <d v="2023-12-01T00:00:00"/>
    <n v="791.99"/>
    <x v="2"/>
    <x v="2"/>
    <d v="2023-12-01T00:00:00"/>
    <x v="0"/>
  </r>
  <r>
    <s v="AP10780"/>
    <x v="2"/>
    <x v="99"/>
    <d v="2024-09-28T00:00:00"/>
    <n v="4963.01"/>
    <x v="3"/>
    <x v="1"/>
    <s v="NA"/>
    <x v="0"/>
  </r>
  <r>
    <s v="AP10781"/>
    <x v="0"/>
    <x v="543"/>
    <d v="2023-08-18T00:00:00"/>
    <n v="4539.28"/>
    <x v="2"/>
    <x v="2"/>
    <d v="2023-08-18T00:00:00"/>
    <x v="0"/>
  </r>
  <r>
    <s v="AP10782"/>
    <x v="1"/>
    <x v="513"/>
    <d v="2024-12-19T00:00:00"/>
    <n v="3114.85"/>
    <x v="0"/>
    <x v="1"/>
    <s v="NA"/>
    <x v="0"/>
  </r>
  <r>
    <s v="AP10783"/>
    <x v="3"/>
    <x v="544"/>
    <d v="2025-05-21T00:00:00"/>
    <n v="3340.58"/>
    <x v="4"/>
    <x v="2"/>
    <d v="2025-05-21T00:00:00"/>
    <x v="0"/>
  </r>
  <r>
    <s v="AP10784"/>
    <x v="2"/>
    <x v="545"/>
    <d v="2025-05-07T00:00:00"/>
    <n v="4187.3"/>
    <x v="4"/>
    <x v="2"/>
    <d v="2025-05-07T00:00:00"/>
    <x v="0"/>
  </r>
  <r>
    <s v="AP10785"/>
    <x v="1"/>
    <x v="13"/>
    <d v="2023-12-19T00:00:00"/>
    <n v="4020.64"/>
    <x v="1"/>
    <x v="2"/>
    <d v="2023-12-19T00:00:00"/>
    <x v="0"/>
  </r>
  <r>
    <s v="AP10786"/>
    <x v="4"/>
    <x v="546"/>
    <d v="2025-03-01T00:00:00"/>
    <n v="755.89"/>
    <x v="2"/>
    <x v="1"/>
    <s v="NA"/>
    <x v="0"/>
  </r>
  <r>
    <s v="AP10787"/>
    <x v="2"/>
    <x v="351"/>
    <d v="2023-08-07T00:00:00"/>
    <n v="1670.28"/>
    <x v="1"/>
    <x v="2"/>
    <d v="2023-08-07T00:00:00"/>
    <x v="0"/>
  </r>
  <r>
    <s v="AP10788"/>
    <x v="0"/>
    <x v="547"/>
    <d v="2024-10-16T00:00:00"/>
    <n v="4064.87"/>
    <x v="0"/>
    <x v="1"/>
    <s v="NA"/>
    <x v="0"/>
  </r>
  <r>
    <s v="AP10789"/>
    <x v="1"/>
    <x v="548"/>
    <d v="2023-03-20T00:00:00"/>
    <n v="4071.09"/>
    <x v="3"/>
    <x v="1"/>
    <s v="NA"/>
    <x v="0"/>
  </r>
  <r>
    <s v="AP10790"/>
    <x v="0"/>
    <x v="45"/>
    <d v="2025-02-24T00:00:00"/>
    <n v="311.52"/>
    <x v="2"/>
    <x v="0"/>
    <s v="NA"/>
    <x v="0"/>
  </r>
  <r>
    <s v="AP10791"/>
    <x v="1"/>
    <x v="139"/>
    <d v="2024-07-24T00:00:00"/>
    <n v="4351.8"/>
    <x v="4"/>
    <x v="2"/>
    <d v="2024-07-24T00:00:00"/>
    <x v="0"/>
  </r>
  <r>
    <s v="AP10792"/>
    <x v="0"/>
    <x v="448"/>
    <d v="2024-04-02T00:00:00"/>
    <n v="3524.51"/>
    <x v="2"/>
    <x v="0"/>
    <s v="NA"/>
    <x v="0"/>
  </r>
  <r>
    <s v="AP10793"/>
    <x v="0"/>
    <x v="549"/>
    <d v="2023-03-23T00:00:00"/>
    <n v="2999.23"/>
    <x v="4"/>
    <x v="2"/>
    <d v="2023-03-23T00:00:00"/>
    <x v="0"/>
  </r>
  <r>
    <s v="AP10794"/>
    <x v="1"/>
    <x v="550"/>
    <d v="2024-10-08T00:00:00"/>
    <n v="754.06"/>
    <x v="0"/>
    <x v="1"/>
    <m/>
    <x v="0"/>
  </r>
  <r>
    <s v="AP10795"/>
    <x v="1"/>
    <x v="170"/>
    <d v="2023-03-06T00:00:00"/>
    <n v="4250.7"/>
    <x v="4"/>
    <x v="2"/>
    <d v="2023-03-06T00:00:00"/>
    <x v="0"/>
  </r>
  <r>
    <s v="AP10796"/>
    <x v="0"/>
    <x v="180"/>
    <d v="2024-05-02T00:00:00"/>
    <n v="613.6"/>
    <x v="2"/>
    <x v="0"/>
    <s v="NA"/>
    <x v="0"/>
  </r>
  <r>
    <s v="AP10797"/>
    <x v="3"/>
    <x v="551"/>
    <d v="2025-04-15T00:00:00"/>
    <n v="1012.88"/>
    <x v="0"/>
    <x v="1"/>
    <s v="NA"/>
    <x v="1"/>
  </r>
  <r>
    <s v="AP10798"/>
    <x v="2"/>
    <x v="136"/>
    <d v="2025-07-19T00:00:00"/>
    <n v="290.27"/>
    <x v="2"/>
    <x v="1"/>
    <s v="NA"/>
    <x v="0"/>
  </r>
  <r>
    <s v="AP10799"/>
    <x v="3"/>
    <x v="369"/>
    <d v="2025-01-21T00:00:00"/>
    <n v="4608.55"/>
    <x v="4"/>
    <x v="1"/>
    <s v="N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1F9190-ED86-4B48-A480-5AE2F25A2EBD}" name="MAX -MI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0:H16" firstHeaderRow="1" firstDataRow="1" firstDataCol="1"/>
  <pivotFields count="12">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showAll="0"/>
    <pivotField showAll="0"/>
    <pivotField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2"/>
    </i>
    <i>
      <x v="4"/>
    </i>
    <i>
      <x v="3"/>
    </i>
    <i>
      <x/>
    </i>
    <i>
      <x v="1"/>
    </i>
    <i t="grand">
      <x/>
    </i>
  </rowItems>
  <colItems count="1">
    <i/>
  </colItems>
  <dataFields count="1">
    <dataField name="Sum of Amount" fld="4" baseField="0" baseItem="0"/>
  </dataFields>
  <formats count="1">
    <format dxfId="2">
      <pivotArea field="1" grandCol="1" collapsedLevelsAreSubtotals="1" axis="axisRow" fieldPosition="0">
        <references count="1">
          <reference field="1" count="0"/>
        </references>
      </pivotArea>
    </format>
  </format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4"/>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86F4B-2DCF-4414-8C3B-732EC340568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10:K14" firstHeaderRow="1" firstDataRow="1" firstDataCol="1"/>
  <pivotFields count="12">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showAll="0"/>
    <pivotField showAll="0">
      <items count="6">
        <item x="4"/>
        <item x="1"/>
        <item x="0"/>
        <item x="2"/>
        <item x="3"/>
        <item t="default"/>
      </items>
    </pivotField>
    <pivotField axis="axisRow"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Sum of Amount" fld="4" baseField="0" baseItem="0" numFmtId="3"/>
  </dataFields>
  <formats count="1">
    <format dxfId="3">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6" count="1" selected="0">
            <x v="0"/>
          </reference>
        </references>
      </pivotArea>
    </chartFormat>
    <chartFormat chart="14" format="4">
      <pivotArea type="data" outline="0" fieldPosition="0">
        <references count="2">
          <reference field="4294967294" count="1" selected="0">
            <x v="0"/>
          </reference>
          <reference field="6" count="1" selected="0">
            <x v="1"/>
          </reference>
        </references>
      </pivotArea>
    </chartFormat>
    <chartFormat chart="14"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7CFF5F-A078-42B7-82D6-8533AD11FC84}" name="PAYMENT STATUS TRACKING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3" firstHeaderRow="1" firstDataRow="2" firstDataCol="1"/>
  <pivotFields count="12">
    <pivotField showAll="0"/>
    <pivotField axis="axisRow"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showAll="0"/>
    <pivotField showAll="0"/>
    <pivotField axis="axisCol"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6"/>
  </colFields>
  <colItems count="4">
    <i>
      <x/>
    </i>
    <i>
      <x v="1"/>
    </i>
    <i>
      <x v="2"/>
    </i>
    <i t="grand">
      <x/>
    </i>
  </colItems>
  <dataFields count="1">
    <dataField name="Sum of Amount"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C897D-0B8F-4852-8D78-47842D7E6AA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 firstHeaderRow="1" firstDataRow="1" firstDataCol="1"/>
  <pivotFields count="12">
    <pivotField dataField="1"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showAll="0"/>
    <pivotField showAll="0"/>
    <pivotField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3">
    <i>
      <x/>
    </i>
    <i>
      <x v="1"/>
    </i>
    <i t="grand">
      <x/>
    </i>
  </rowItems>
  <colItems count="1">
    <i/>
  </colItems>
  <dataFields count="1">
    <dataField name="Count of A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4671CB-F0FD-41F2-A023-CF4E480F6F33}" name="AMOUNT TO BE PAID AS PER CURRENCY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M8" firstHeaderRow="1" firstDataRow="2" firstDataCol="1"/>
  <pivotFields count="12">
    <pivotField showAll="0"/>
    <pivotField axis="axisRow" showAll="0" sortType="ascending">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showAll="0"/>
    <pivotField axis="axisCol" showAll="0">
      <items count="6">
        <item x="4"/>
        <item x="1"/>
        <item x="0"/>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5"/>
  </colFields>
  <colItems count="6">
    <i>
      <x/>
    </i>
    <i>
      <x v="1"/>
    </i>
    <i>
      <x v="2"/>
    </i>
    <i>
      <x v="3"/>
    </i>
    <i>
      <x v="4"/>
    </i>
    <i t="grand">
      <x/>
    </i>
  </colItems>
  <dataFields count="1">
    <dataField name="Sum of Amount" fld="4" baseField="0" baseItem="0" numFmtId="1"/>
  </dataFields>
  <formats count="1">
    <format dxfId="4">
      <pivotArea field="1" grandCol="1" collapsedLevelsAreSubtotals="1" axis="axisRow"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CBEFCD-4807-4BC2-88E9-02FFA74222EA}" name="TOTAL COUNT OF INVOICE BY VENDORS "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E14" firstHeaderRow="1" firstDataRow="2" firstDataCol="1"/>
  <pivotFields count="12">
    <pivotField showAll="0"/>
    <pivotField axis="axisRow"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showAll="0"/>
    <pivotField showAll="0"/>
    <pivotField axis="axisCol"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6"/>
  </colFields>
  <colItems count="4">
    <i>
      <x/>
    </i>
    <i>
      <x v="1"/>
    </i>
    <i>
      <x v="2"/>
    </i>
    <i t="grand">
      <x/>
    </i>
  </colItems>
  <dataFields count="1">
    <dataField name="Count of Amount" fld="4"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703C48-FB42-433B-8819-5014E9212B8E}" name="TOTAL 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5" firstHeaderRow="1" firstDataRow="1" firstDataCol="1"/>
  <pivotFields count="12">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showAll="0"/>
    <pivotField showAll="0"/>
    <pivotField axis="axisRow" dataField="1"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Status" fld="6"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2"/>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95FE5A-F412-432F-8E97-1E3F0280B073}" name="overdu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8:I22" firstHeaderRow="0" firstDataRow="1" firstDataCol="1"/>
  <pivotFields count="11">
    <pivotField dataField="1" showAll="0"/>
    <pivotField showAll="0"/>
    <pivotField showAll="0"/>
    <pivotField showAll="0"/>
    <pivotField dataField="1" numFmtId="1" showAll="0"/>
    <pivotField showAll="0"/>
    <pivotField showAll="0"/>
    <pivotField showAll="0"/>
    <pivotField showAll="0"/>
    <pivotField showAll="0"/>
    <pivotField axis="axisRow" showAll="0">
      <items count="4">
        <item x="1"/>
        <item x="0"/>
        <item x="2"/>
        <item t="default"/>
      </items>
    </pivotField>
  </pivotFields>
  <rowFields count="1">
    <field x="10"/>
  </rowFields>
  <rowItems count="4">
    <i>
      <x/>
    </i>
    <i>
      <x v="1"/>
    </i>
    <i>
      <x v="2"/>
    </i>
    <i t="grand">
      <x/>
    </i>
  </rowItems>
  <colFields count="1">
    <field x="-2"/>
  </colFields>
  <colItems count="2">
    <i>
      <x/>
    </i>
    <i i="1">
      <x v="1"/>
    </i>
  </colItems>
  <dataFields count="2">
    <dataField name="Count of APID" fld="0" subtotal="count" baseField="0" baseItem="0"/>
    <dataField name="Sum of Amount" fld="4" baseField="0" baseItem="0" numFmtId="1"/>
  </dataFields>
  <chartFormats count="8">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0" count="1" selected="0">
            <x v="0"/>
          </reference>
        </references>
      </pivotArea>
    </chartFormat>
    <chartFormat chart="8" format="12">
      <pivotArea type="data" outline="0" fieldPosition="0">
        <references count="2">
          <reference field="4294967294" count="1" selected="0">
            <x v="0"/>
          </reference>
          <reference field="10" count="1" selected="0">
            <x v="1"/>
          </reference>
        </references>
      </pivotArea>
    </chartFormat>
    <chartFormat chart="8" format="13">
      <pivotArea type="data" outline="0" fieldPosition="0">
        <references count="2">
          <reference field="4294967294" count="1" selected="0">
            <x v="0"/>
          </reference>
          <reference field="10" count="1" selected="0">
            <x v="2"/>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10" count="1" selected="0">
            <x v="0"/>
          </reference>
        </references>
      </pivotArea>
    </chartFormat>
    <chartFormat chart="8" format="16">
      <pivotArea type="data" outline="0" fieldPosition="0">
        <references count="2">
          <reference field="4294967294" count="1" selected="0">
            <x v="1"/>
          </reference>
          <reference field="10" count="1" selected="0">
            <x v="1"/>
          </reference>
        </references>
      </pivotArea>
    </chartFormat>
    <chartFormat chart="8" format="17">
      <pivotArea type="data" outline="0" fieldPosition="0">
        <references count="2">
          <reference field="4294967294"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BAE09B-8C0B-4AA7-A33D-10CFDF66C5B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T20" firstHeaderRow="1" firstDataRow="1" firstDataCol="0"/>
  <pivotFields count="12">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h="1" sd="0" x="1"/>
        <item h="1" sd="0" x="2"/>
        <item h="1" sd="0" x="3"/>
        <item sd="0"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F06381E3-6344-41DE-9D3B-8CE84F8E8F39}" sourceName="Vendor">
  <pivotTables>
    <pivotTable tabId="2" name="MAX -MIN"/>
    <pivotTable tabId="2" name="PAYMENT STATUS TRACKING "/>
    <pivotTable tabId="2" name="PivotTable11"/>
    <pivotTable tabId="2" name="PivotTable7"/>
    <pivotTable tabId="2" name="PivotTable8"/>
    <pivotTable tabId="2" name="TOTAL COUNT"/>
    <pivotTable tabId="2" name="TOTAL COUNT OF INVOICE BY VENDORS "/>
  </pivotTables>
  <data>
    <tabular pivotCacheId="1464255029">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D8397AA-02B3-43CB-A083-2D2FB46CC74E}" sourceName="Status">
  <pivotTables>
    <pivotTable tabId="2" name="MAX -MIN"/>
  </pivotTables>
  <data>
    <tabular pivotCacheId="146425502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2DE921E2-D750-4581-99D2-50ED75AFE137}" sourceName="Currency">
  <pivotTables>
    <pivotTable tabId="2" name="PivotTable11"/>
  </pivotTables>
  <data>
    <tabular pivotCacheId="1464255029">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BC9D290F-EDC9-4080-9E95-EB900D104998}" cache="Slicer_Vendor" caption="Vendor" style="SlicerStyleLight4" rowHeight="234950"/>
  <slicer name="Status" xr10:uid="{206C6A88-9F45-477F-B056-FE93CDF2394B}" cache="Slicer_Status" caption="Status" style="SlicerStyleOther1" rowHeight="234950"/>
  <slicer name="Currency" xr10:uid="{D2272AB6-1030-45E1-8D72-B3302F574746}" cache="Slicer_Currency" caption="Currenc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3"/>
  <sheetViews>
    <sheetView zoomScale="96" zoomScaleNormal="100" workbookViewId="0">
      <selection activeCell="M14" sqref="M14"/>
    </sheetView>
  </sheetViews>
  <sheetFormatPr defaultRowHeight="14.4" x14ac:dyDescent="0.3"/>
  <cols>
    <col min="1" max="1" width="13.109375" customWidth="1"/>
    <col min="2" max="2" width="15.109375" customWidth="1"/>
    <col min="3" max="3" width="14.5546875" customWidth="1"/>
    <col min="4" max="4" width="13.77734375" customWidth="1"/>
    <col min="5" max="5" width="13.109375" style="14" customWidth="1"/>
    <col min="6" max="6" width="8.5546875" bestFit="1" customWidth="1"/>
    <col min="7" max="7" width="6.21875" bestFit="1" customWidth="1"/>
    <col min="8" max="8" width="13.6640625" customWidth="1"/>
    <col min="9" max="9" width="6.88671875" customWidth="1"/>
    <col min="10" max="10" width="10.77734375" bestFit="1" customWidth="1"/>
    <col min="11" max="11" width="13.109375" customWidth="1"/>
    <col min="14" max="14" width="23.33203125" customWidth="1"/>
  </cols>
  <sheetData>
    <row r="1" spans="1:11" x14ac:dyDescent="0.3">
      <c r="A1" s="1" t="s">
        <v>0</v>
      </c>
      <c r="B1" s="1" t="s">
        <v>1</v>
      </c>
      <c r="C1" s="1" t="s">
        <v>2</v>
      </c>
      <c r="D1" s="1" t="s">
        <v>3</v>
      </c>
      <c r="E1" s="13" t="s">
        <v>4</v>
      </c>
      <c r="F1" s="1" t="s">
        <v>5</v>
      </c>
      <c r="G1" s="1" t="s">
        <v>6</v>
      </c>
      <c r="H1" s="1" t="s">
        <v>7</v>
      </c>
      <c r="I1" s="1" t="s">
        <v>8</v>
      </c>
      <c r="J1" s="13" t="s">
        <v>831</v>
      </c>
      <c r="K1" s="1" t="s">
        <v>832</v>
      </c>
    </row>
    <row r="2" spans="1:11" x14ac:dyDescent="0.3">
      <c r="A2" s="18" t="s">
        <v>9</v>
      </c>
      <c r="B2" s="18" t="s">
        <v>809</v>
      </c>
      <c r="C2" s="19">
        <v>45642</v>
      </c>
      <c r="D2" s="19">
        <v>45672</v>
      </c>
      <c r="E2" s="17">
        <v>344.25</v>
      </c>
      <c r="F2" s="20" t="s">
        <v>814</v>
      </c>
      <c r="G2" s="20" t="s">
        <v>819</v>
      </c>
      <c r="H2" s="20" t="s">
        <v>823</v>
      </c>
      <c r="I2" s="20" t="s">
        <v>822</v>
      </c>
      <c r="J2" s="21">
        <f t="shared" ref="J2:J65" ca="1" si="0">TODAY()-D2</f>
        <v>523</v>
      </c>
      <c r="K2" s="20" t="str">
        <f t="shared" ref="K2:K65" ca="1" si="1">IF(AND(TODAY()&gt;D2,G2&lt;&gt;"Paid"),"Overdue","OK")</f>
        <v>Overdue</v>
      </c>
    </row>
    <row r="3" spans="1:11" x14ac:dyDescent="0.3">
      <c r="A3" s="18" t="s">
        <v>10</v>
      </c>
      <c r="B3" s="18" t="s">
        <v>809</v>
      </c>
      <c r="C3" s="19">
        <v>45430</v>
      </c>
      <c r="D3" s="19">
        <v>45460</v>
      </c>
      <c r="E3" s="17">
        <v>3298.38</v>
      </c>
      <c r="F3" s="20" t="s">
        <v>815</v>
      </c>
      <c r="G3" s="20" t="s">
        <v>820</v>
      </c>
      <c r="H3" s="20" t="s">
        <v>823</v>
      </c>
      <c r="I3" s="20" t="s">
        <v>822</v>
      </c>
      <c r="J3" s="21">
        <f t="shared" ca="1" si="0"/>
        <v>735</v>
      </c>
      <c r="K3" s="20" t="str">
        <f t="shared" ca="1" si="1"/>
        <v>Overdue</v>
      </c>
    </row>
    <row r="4" spans="1:11" x14ac:dyDescent="0.3">
      <c r="A4" s="18" t="s">
        <v>11</v>
      </c>
      <c r="B4" s="18" t="s">
        <v>810</v>
      </c>
      <c r="C4" s="19">
        <v>45347</v>
      </c>
      <c r="D4" s="19">
        <v>45377</v>
      </c>
      <c r="E4" s="17">
        <v>1023.43</v>
      </c>
      <c r="F4" s="20" t="s">
        <v>816</v>
      </c>
      <c r="G4" s="20" t="s">
        <v>819</v>
      </c>
      <c r="H4" s="20" t="s">
        <v>823</v>
      </c>
      <c r="I4" s="20" t="s">
        <v>822</v>
      </c>
      <c r="J4" s="21">
        <f t="shared" ca="1" si="0"/>
        <v>818</v>
      </c>
      <c r="K4" s="20" t="str">
        <f t="shared" ca="1" si="1"/>
        <v>Overdue</v>
      </c>
    </row>
    <row r="5" spans="1:11" x14ac:dyDescent="0.3">
      <c r="A5" s="18" t="s">
        <v>12</v>
      </c>
      <c r="B5" s="18" t="s">
        <v>811</v>
      </c>
      <c r="C5" s="19">
        <v>45299</v>
      </c>
      <c r="D5" s="19">
        <v>45329</v>
      </c>
      <c r="E5" s="17">
        <v>4433.05</v>
      </c>
      <c r="F5" s="20" t="s">
        <v>817</v>
      </c>
      <c r="G5" s="20" t="s">
        <v>820</v>
      </c>
      <c r="H5" s="20" t="s">
        <v>823</v>
      </c>
      <c r="I5" s="20" t="s">
        <v>822</v>
      </c>
      <c r="J5" s="21">
        <f t="shared" ca="1" si="0"/>
        <v>866</v>
      </c>
      <c r="K5" s="20" t="str">
        <f t="shared" ca="1" si="1"/>
        <v>Overdue</v>
      </c>
    </row>
    <row r="6" spans="1:11" x14ac:dyDescent="0.3">
      <c r="A6" s="18" t="s">
        <v>13</v>
      </c>
      <c r="B6" s="18" t="s">
        <v>811</v>
      </c>
      <c r="C6" s="19">
        <v>45435</v>
      </c>
      <c r="D6" s="19">
        <v>45465</v>
      </c>
      <c r="E6" s="17">
        <v>4345.1400000000003</v>
      </c>
      <c r="F6" s="20" t="s">
        <v>816</v>
      </c>
      <c r="G6" s="20" t="s">
        <v>820</v>
      </c>
      <c r="H6" s="20" t="s">
        <v>823</v>
      </c>
      <c r="I6" s="20" t="s">
        <v>822</v>
      </c>
      <c r="J6" s="21">
        <f t="shared" ca="1" si="0"/>
        <v>730</v>
      </c>
      <c r="K6" s="20" t="str">
        <f t="shared" ca="1" si="1"/>
        <v>Overdue</v>
      </c>
    </row>
    <row r="7" spans="1:11" x14ac:dyDescent="0.3">
      <c r="A7" s="18" t="s">
        <v>14</v>
      </c>
      <c r="B7" s="18" t="s">
        <v>810</v>
      </c>
      <c r="C7" s="19">
        <v>45482</v>
      </c>
      <c r="D7" s="19">
        <v>45512</v>
      </c>
      <c r="E7" s="17">
        <v>1599.18</v>
      </c>
      <c r="F7" s="20" t="s">
        <v>818</v>
      </c>
      <c r="G7" s="20" t="s">
        <v>819</v>
      </c>
      <c r="H7" s="20" t="s">
        <v>823</v>
      </c>
      <c r="I7" s="20" t="s">
        <v>822</v>
      </c>
      <c r="J7" s="21">
        <f t="shared" ca="1" si="0"/>
        <v>683</v>
      </c>
      <c r="K7" s="20" t="str">
        <f t="shared" ca="1" si="1"/>
        <v>Overdue</v>
      </c>
    </row>
    <row r="8" spans="1:11" x14ac:dyDescent="0.3">
      <c r="A8" s="18" t="s">
        <v>15</v>
      </c>
      <c r="B8" s="18" t="s">
        <v>809</v>
      </c>
      <c r="C8" s="19">
        <v>45646</v>
      </c>
      <c r="D8" s="19">
        <v>45676</v>
      </c>
      <c r="E8" s="17">
        <v>894.13</v>
      </c>
      <c r="F8" s="20" t="s">
        <v>817</v>
      </c>
      <c r="G8" s="20" t="s">
        <v>819</v>
      </c>
      <c r="H8" s="20" t="s">
        <v>823</v>
      </c>
      <c r="I8" s="20" t="s">
        <v>822</v>
      </c>
      <c r="J8" s="21">
        <f t="shared" ca="1" si="0"/>
        <v>519</v>
      </c>
      <c r="K8" s="20" t="str">
        <f t="shared" ca="1" si="1"/>
        <v>Overdue</v>
      </c>
    </row>
    <row r="9" spans="1:11" x14ac:dyDescent="0.3">
      <c r="A9" s="18" t="s">
        <v>16</v>
      </c>
      <c r="B9" s="18" t="s">
        <v>810</v>
      </c>
      <c r="C9" s="19">
        <v>45560</v>
      </c>
      <c r="D9" s="19">
        <v>45590</v>
      </c>
      <c r="E9" s="17">
        <v>1303.06</v>
      </c>
      <c r="F9" s="20" t="s">
        <v>816</v>
      </c>
      <c r="G9" s="20" t="s">
        <v>821</v>
      </c>
      <c r="H9" s="22">
        <v>45590</v>
      </c>
      <c r="I9" s="20" t="s">
        <v>822</v>
      </c>
      <c r="J9" s="21">
        <f t="shared" ca="1" si="0"/>
        <v>605</v>
      </c>
      <c r="K9" s="20" t="str">
        <f t="shared" ca="1" si="1"/>
        <v>OK</v>
      </c>
    </row>
    <row r="10" spans="1:11" x14ac:dyDescent="0.3">
      <c r="A10" s="18" t="s">
        <v>17</v>
      </c>
      <c r="B10" s="18" t="s">
        <v>811</v>
      </c>
      <c r="C10" s="19">
        <v>45334</v>
      </c>
      <c r="D10" s="19">
        <v>45364</v>
      </c>
      <c r="E10" s="17">
        <v>3481.8</v>
      </c>
      <c r="F10" s="20" t="s">
        <v>815</v>
      </c>
      <c r="G10" s="20" t="s">
        <v>821</v>
      </c>
      <c r="H10" s="22">
        <v>45364</v>
      </c>
      <c r="I10" s="20" t="s">
        <v>822</v>
      </c>
      <c r="J10" s="21">
        <f t="shared" ca="1" si="0"/>
        <v>831</v>
      </c>
      <c r="K10" s="20" t="str">
        <f t="shared" ca="1" si="1"/>
        <v>OK</v>
      </c>
    </row>
    <row r="11" spans="1:11" x14ac:dyDescent="0.3">
      <c r="A11" s="18" t="s">
        <v>18</v>
      </c>
      <c r="B11" s="18" t="s">
        <v>811</v>
      </c>
      <c r="C11" s="19">
        <v>45470</v>
      </c>
      <c r="D11" s="19">
        <v>45500</v>
      </c>
      <c r="E11" s="17">
        <v>217.97</v>
      </c>
      <c r="F11" s="20" t="s">
        <v>817</v>
      </c>
      <c r="G11" s="20" t="s">
        <v>819</v>
      </c>
      <c r="H11" s="20" t="s">
        <v>823</v>
      </c>
      <c r="I11" s="20" t="s">
        <v>822</v>
      </c>
      <c r="J11" s="21">
        <f t="shared" ca="1" si="0"/>
        <v>695</v>
      </c>
      <c r="K11" s="20" t="str">
        <f t="shared" ca="1" si="1"/>
        <v>Overdue</v>
      </c>
    </row>
    <row r="12" spans="1:11" x14ac:dyDescent="0.3">
      <c r="A12" s="18" t="s">
        <v>19</v>
      </c>
      <c r="B12" s="18" t="s">
        <v>809</v>
      </c>
      <c r="C12" s="19">
        <v>45360</v>
      </c>
      <c r="D12" s="19">
        <v>45390</v>
      </c>
      <c r="E12" s="17">
        <v>1809.07</v>
      </c>
      <c r="F12" s="20" t="s">
        <v>814</v>
      </c>
      <c r="G12" s="20" t="s">
        <v>820</v>
      </c>
      <c r="H12" s="20" t="s">
        <v>823</v>
      </c>
      <c r="I12" s="20" t="s">
        <v>822</v>
      </c>
      <c r="J12" s="21">
        <f t="shared" ca="1" si="0"/>
        <v>805</v>
      </c>
      <c r="K12" s="20" t="str">
        <f t="shared" ca="1" si="1"/>
        <v>Overdue</v>
      </c>
    </row>
    <row r="13" spans="1:11" x14ac:dyDescent="0.3">
      <c r="A13" s="18" t="s">
        <v>20</v>
      </c>
      <c r="B13" s="18" t="s">
        <v>809</v>
      </c>
      <c r="C13" s="19">
        <v>45575</v>
      </c>
      <c r="D13" s="19">
        <v>45605</v>
      </c>
      <c r="E13" s="17">
        <v>884.1</v>
      </c>
      <c r="F13" s="20" t="s">
        <v>817</v>
      </c>
      <c r="G13" s="20" t="s">
        <v>819</v>
      </c>
      <c r="H13" s="20" t="s">
        <v>823</v>
      </c>
      <c r="I13" s="20" t="s">
        <v>822</v>
      </c>
      <c r="J13" s="21">
        <f t="shared" ca="1" si="0"/>
        <v>590</v>
      </c>
      <c r="K13" s="20" t="str">
        <f t="shared" ca="1" si="1"/>
        <v>Overdue</v>
      </c>
    </row>
    <row r="14" spans="1:11" x14ac:dyDescent="0.3">
      <c r="A14" s="18" t="s">
        <v>21</v>
      </c>
      <c r="B14" s="18" t="s">
        <v>811</v>
      </c>
      <c r="C14" s="19">
        <v>45065</v>
      </c>
      <c r="D14" s="19">
        <v>45095</v>
      </c>
      <c r="E14" s="17">
        <v>1491.7</v>
      </c>
      <c r="F14" s="20" t="s">
        <v>816</v>
      </c>
      <c r="G14" s="20" t="s">
        <v>819</v>
      </c>
      <c r="H14" s="20" t="s">
        <v>823</v>
      </c>
      <c r="I14" s="20" t="s">
        <v>822</v>
      </c>
      <c r="J14" s="21">
        <f t="shared" ca="1" si="0"/>
        <v>1100</v>
      </c>
      <c r="K14" s="20" t="str">
        <f t="shared" ca="1" si="1"/>
        <v>Overdue</v>
      </c>
    </row>
    <row r="15" spans="1:11" x14ac:dyDescent="0.3">
      <c r="A15" s="18" t="s">
        <v>22</v>
      </c>
      <c r="B15" s="18" t="s">
        <v>811</v>
      </c>
      <c r="C15" s="19">
        <v>45249</v>
      </c>
      <c r="D15" s="19">
        <v>45279</v>
      </c>
      <c r="E15" s="17">
        <v>4212.17</v>
      </c>
      <c r="F15" s="20" t="s">
        <v>818</v>
      </c>
      <c r="G15" s="20" t="s">
        <v>821</v>
      </c>
      <c r="H15" s="22">
        <v>45279</v>
      </c>
      <c r="I15" s="20" t="s">
        <v>822</v>
      </c>
      <c r="J15" s="21">
        <f t="shared" ca="1" si="0"/>
        <v>916</v>
      </c>
      <c r="K15" s="20" t="str">
        <f t="shared" ca="1" si="1"/>
        <v>OK</v>
      </c>
    </row>
    <row r="16" spans="1:11" x14ac:dyDescent="0.3">
      <c r="A16" s="18" t="s">
        <v>23</v>
      </c>
      <c r="B16" s="18" t="s">
        <v>809</v>
      </c>
      <c r="C16" s="19">
        <v>45417</v>
      </c>
      <c r="D16" s="19">
        <v>45447</v>
      </c>
      <c r="E16" s="17">
        <v>1632.82</v>
      </c>
      <c r="F16" s="20" t="s">
        <v>816</v>
      </c>
      <c r="G16" s="20" t="s">
        <v>819</v>
      </c>
      <c r="H16" s="20" t="s">
        <v>823</v>
      </c>
      <c r="I16" s="20" t="s">
        <v>822</v>
      </c>
      <c r="J16" s="21">
        <f t="shared" ca="1" si="0"/>
        <v>748</v>
      </c>
      <c r="K16" s="20" t="str">
        <f t="shared" ca="1" si="1"/>
        <v>Overdue</v>
      </c>
    </row>
    <row r="17" spans="1:11" x14ac:dyDescent="0.3">
      <c r="A17" s="18" t="s">
        <v>24</v>
      </c>
      <c r="B17" s="18" t="s">
        <v>809</v>
      </c>
      <c r="C17" s="19">
        <v>45081</v>
      </c>
      <c r="D17" s="19">
        <v>45111</v>
      </c>
      <c r="E17" s="17">
        <v>1887.67</v>
      </c>
      <c r="F17" s="20" t="s">
        <v>814</v>
      </c>
      <c r="G17" s="20" t="s">
        <v>821</v>
      </c>
      <c r="H17" s="22">
        <v>45111</v>
      </c>
      <c r="I17" s="20" t="s">
        <v>822</v>
      </c>
      <c r="J17" s="21">
        <f t="shared" ca="1" si="0"/>
        <v>1084</v>
      </c>
      <c r="K17" s="20" t="str">
        <f t="shared" ca="1" si="1"/>
        <v>OK</v>
      </c>
    </row>
    <row r="18" spans="1:11" x14ac:dyDescent="0.3">
      <c r="A18" s="18" t="s">
        <v>25</v>
      </c>
      <c r="B18" s="18" t="s">
        <v>809</v>
      </c>
      <c r="C18" s="19">
        <v>45270</v>
      </c>
      <c r="D18" s="19">
        <v>45300</v>
      </c>
      <c r="E18" s="17">
        <v>1721.41</v>
      </c>
      <c r="F18" s="20" t="s">
        <v>816</v>
      </c>
      <c r="G18" s="20" t="s">
        <v>819</v>
      </c>
      <c r="H18" s="20" t="s">
        <v>823</v>
      </c>
      <c r="I18" s="20" t="s">
        <v>822</v>
      </c>
      <c r="J18" s="21">
        <f t="shared" ca="1" si="0"/>
        <v>895</v>
      </c>
      <c r="K18" s="20" t="str">
        <f t="shared" ca="1" si="1"/>
        <v>Overdue</v>
      </c>
    </row>
    <row r="19" spans="1:11" x14ac:dyDescent="0.3">
      <c r="A19" s="18" t="s">
        <v>26</v>
      </c>
      <c r="B19" s="18" t="s">
        <v>812</v>
      </c>
      <c r="C19" s="19">
        <v>45656</v>
      </c>
      <c r="D19" s="19">
        <v>45686</v>
      </c>
      <c r="E19" s="17">
        <v>2941.63</v>
      </c>
      <c r="F19" s="20" t="s">
        <v>817</v>
      </c>
      <c r="G19" s="20" t="s">
        <v>819</v>
      </c>
      <c r="H19" s="20" t="s">
        <v>823</v>
      </c>
      <c r="I19" s="20" t="s">
        <v>822</v>
      </c>
      <c r="J19" s="21">
        <f t="shared" ca="1" si="0"/>
        <v>509</v>
      </c>
      <c r="K19" s="20" t="str">
        <f t="shared" ca="1" si="1"/>
        <v>Overdue</v>
      </c>
    </row>
    <row r="20" spans="1:11" x14ac:dyDescent="0.3">
      <c r="A20" s="18" t="s">
        <v>27</v>
      </c>
      <c r="B20" s="18" t="s">
        <v>810</v>
      </c>
      <c r="C20" s="19">
        <v>45470</v>
      </c>
      <c r="D20" s="19">
        <v>45500</v>
      </c>
      <c r="E20" s="17">
        <v>889.44</v>
      </c>
      <c r="F20" s="20" t="s">
        <v>817</v>
      </c>
      <c r="G20" s="20" t="s">
        <v>821</v>
      </c>
      <c r="H20" s="22">
        <v>45500</v>
      </c>
      <c r="I20" s="20" t="s">
        <v>822</v>
      </c>
      <c r="J20" s="21">
        <f t="shared" ca="1" si="0"/>
        <v>695</v>
      </c>
      <c r="K20" s="20" t="str">
        <f t="shared" ca="1" si="1"/>
        <v>OK</v>
      </c>
    </row>
    <row r="21" spans="1:11" x14ac:dyDescent="0.3">
      <c r="A21" s="18" t="s">
        <v>28</v>
      </c>
      <c r="B21" s="18" t="s">
        <v>810</v>
      </c>
      <c r="C21" s="19">
        <v>45744</v>
      </c>
      <c r="D21" s="19">
        <v>45774</v>
      </c>
      <c r="E21" s="17">
        <v>1539.53</v>
      </c>
      <c r="F21" s="20" t="s">
        <v>818</v>
      </c>
      <c r="G21" s="20" t="s">
        <v>820</v>
      </c>
      <c r="H21" s="20" t="s">
        <v>823</v>
      </c>
      <c r="I21" s="20" t="s">
        <v>822</v>
      </c>
      <c r="J21" s="21">
        <f t="shared" ca="1" si="0"/>
        <v>421</v>
      </c>
      <c r="K21" s="20" t="str">
        <f t="shared" ca="1" si="1"/>
        <v>Overdue</v>
      </c>
    </row>
    <row r="22" spans="1:11" x14ac:dyDescent="0.3">
      <c r="A22" s="18" t="s">
        <v>29</v>
      </c>
      <c r="B22" s="18" t="s">
        <v>813</v>
      </c>
      <c r="C22" s="19">
        <v>45121</v>
      </c>
      <c r="D22" s="19">
        <v>45151</v>
      </c>
      <c r="E22" s="17">
        <v>996.27</v>
      </c>
      <c r="F22" s="20" t="s">
        <v>818</v>
      </c>
      <c r="G22" s="20" t="s">
        <v>819</v>
      </c>
      <c r="H22" s="20" t="s">
        <v>823</v>
      </c>
      <c r="I22" s="20" t="s">
        <v>822</v>
      </c>
      <c r="J22" s="21">
        <f t="shared" ca="1" si="0"/>
        <v>1044</v>
      </c>
      <c r="K22" s="20" t="str">
        <f t="shared" ca="1" si="1"/>
        <v>Overdue</v>
      </c>
    </row>
    <row r="23" spans="1:11" x14ac:dyDescent="0.3">
      <c r="A23" s="18" t="s">
        <v>30</v>
      </c>
      <c r="B23" s="18" t="s">
        <v>813</v>
      </c>
      <c r="C23" s="19">
        <v>45105</v>
      </c>
      <c r="D23" s="19">
        <v>45135</v>
      </c>
      <c r="E23" s="17">
        <v>2450.1</v>
      </c>
      <c r="F23" s="20" t="s">
        <v>815</v>
      </c>
      <c r="G23" s="20" t="s">
        <v>820</v>
      </c>
      <c r="H23" s="20" t="s">
        <v>823</v>
      </c>
      <c r="I23" s="20" t="s">
        <v>822</v>
      </c>
      <c r="J23" s="21">
        <f t="shared" ca="1" si="0"/>
        <v>1060</v>
      </c>
      <c r="K23" s="20" t="str">
        <f t="shared" ca="1" si="1"/>
        <v>Overdue</v>
      </c>
    </row>
    <row r="24" spans="1:11" x14ac:dyDescent="0.3">
      <c r="A24" s="18" t="s">
        <v>31</v>
      </c>
      <c r="B24" s="18" t="s">
        <v>812</v>
      </c>
      <c r="C24" s="19">
        <v>45653</v>
      </c>
      <c r="D24" s="19">
        <v>45683</v>
      </c>
      <c r="E24" s="17">
        <v>797.8</v>
      </c>
      <c r="F24" s="20" t="s">
        <v>815</v>
      </c>
      <c r="G24" s="20" t="s">
        <v>819</v>
      </c>
      <c r="H24" s="20" t="s">
        <v>823</v>
      </c>
      <c r="I24" s="20" t="s">
        <v>822</v>
      </c>
      <c r="J24" s="21">
        <f t="shared" ca="1" si="0"/>
        <v>512</v>
      </c>
      <c r="K24" s="20" t="str">
        <f t="shared" ca="1" si="1"/>
        <v>Overdue</v>
      </c>
    </row>
    <row r="25" spans="1:11" x14ac:dyDescent="0.3">
      <c r="A25" s="18" t="s">
        <v>32</v>
      </c>
      <c r="B25" s="18" t="s">
        <v>809</v>
      </c>
      <c r="C25" s="19">
        <v>45062</v>
      </c>
      <c r="D25" s="19">
        <v>45092</v>
      </c>
      <c r="E25" s="17">
        <v>4237.6499999999996</v>
      </c>
      <c r="F25" s="20" t="s">
        <v>816</v>
      </c>
      <c r="G25" s="20" t="s">
        <v>820</v>
      </c>
      <c r="H25" s="20" t="s">
        <v>823</v>
      </c>
      <c r="I25" s="20" t="s">
        <v>822</v>
      </c>
      <c r="J25" s="21">
        <f t="shared" ca="1" si="0"/>
        <v>1103</v>
      </c>
      <c r="K25" s="20" t="str">
        <f t="shared" ca="1" si="1"/>
        <v>Overdue</v>
      </c>
    </row>
    <row r="26" spans="1:11" x14ac:dyDescent="0.3">
      <c r="A26" s="18" t="s">
        <v>33</v>
      </c>
      <c r="B26" s="18" t="s">
        <v>812</v>
      </c>
      <c r="C26" s="19">
        <v>45199</v>
      </c>
      <c r="D26" s="19">
        <v>45229</v>
      </c>
      <c r="E26" s="17">
        <v>665.06</v>
      </c>
      <c r="F26" s="20" t="s">
        <v>818</v>
      </c>
      <c r="G26" s="20" t="s">
        <v>819</v>
      </c>
      <c r="H26" s="20" t="s">
        <v>823</v>
      </c>
      <c r="I26" s="20" t="s">
        <v>822</v>
      </c>
      <c r="J26" s="21">
        <f t="shared" ca="1" si="0"/>
        <v>966</v>
      </c>
      <c r="K26" s="20" t="str">
        <f t="shared" ca="1" si="1"/>
        <v>Overdue</v>
      </c>
    </row>
    <row r="27" spans="1:11" x14ac:dyDescent="0.3">
      <c r="A27" s="18" t="s">
        <v>34</v>
      </c>
      <c r="B27" s="18" t="s">
        <v>812</v>
      </c>
      <c r="C27" s="19">
        <v>45640</v>
      </c>
      <c r="D27" s="19">
        <v>45670</v>
      </c>
      <c r="E27" s="17">
        <v>3849.16</v>
      </c>
      <c r="F27" s="20" t="s">
        <v>816</v>
      </c>
      <c r="G27" s="20" t="s">
        <v>820</v>
      </c>
      <c r="H27" s="20" t="s">
        <v>823</v>
      </c>
      <c r="I27" s="20" t="s">
        <v>822</v>
      </c>
      <c r="J27" s="21">
        <f t="shared" ca="1" si="0"/>
        <v>525</v>
      </c>
      <c r="K27" s="20" t="str">
        <f t="shared" ca="1" si="1"/>
        <v>Overdue</v>
      </c>
    </row>
    <row r="28" spans="1:11" x14ac:dyDescent="0.3">
      <c r="A28" s="18" t="s">
        <v>35</v>
      </c>
      <c r="B28" s="18" t="s">
        <v>809</v>
      </c>
      <c r="C28" s="19">
        <v>45124</v>
      </c>
      <c r="D28" s="19">
        <v>45154</v>
      </c>
      <c r="E28" s="17">
        <v>4411.88</v>
      </c>
      <c r="F28" s="20" t="s">
        <v>815</v>
      </c>
      <c r="G28" s="20" t="s">
        <v>821</v>
      </c>
      <c r="H28" s="22">
        <v>45154</v>
      </c>
      <c r="I28" s="20" t="s">
        <v>822</v>
      </c>
      <c r="J28" s="21">
        <f t="shared" ca="1" si="0"/>
        <v>1041</v>
      </c>
      <c r="K28" s="20" t="str">
        <f t="shared" ca="1" si="1"/>
        <v>OK</v>
      </c>
    </row>
    <row r="29" spans="1:11" x14ac:dyDescent="0.3">
      <c r="A29" s="18" t="s">
        <v>36</v>
      </c>
      <c r="B29" s="18" t="s">
        <v>810</v>
      </c>
      <c r="C29" s="19">
        <v>45376</v>
      </c>
      <c r="D29" s="19">
        <v>45406</v>
      </c>
      <c r="E29" s="17">
        <v>296.64999999999998</v>
      </c>
      <c r="F29" s="20" t="s">
        <v>817</v>
      </c>
      <c r="G29" s="20" t="s">
        <v>821</v>
      </c>
      <c r="H29" s="22">
        <v>45406</v>
      </c>
      <c r="I29" s="20" t="s">
        <v>822</v>
      </c>
      <c r="J29" s="21">
        <f t="shared" ca="1" si="0"/>
        <v>789</v>
      </c>
      <c r="K29" s="20" t="str">
        <f t="shared" ca="1" si="1"/>
        <v>OK</v>
      </c>
    </row>
    <row r="30" spans="1:11" x14ac:dyDescent="0.3">
      <c r="A30" s="18" t="s">
        <v>37</v>
      </c>
      <c r="B30" s="18" t="s">
        <v>813</v>
      </c>
      <c r="C30" s="19">
        <v>45593</v>
      </c>
      <c r="D30" s="19">
        <v>45623</v>
      </c>
      <c r="E30" s="17">
        <v>3099.8</v>
      </c>
      <c r="F30" s="20" t="s">
        <v>816</v>
      </c>
      <c r="G30" s="20" t="s">
        <v>819</v>
      </c>
      <c r="H30" s="20" t="s">
        <v>823</v>
      </c>
      <c r="I30" s="20" t="s">
        <v>822</v>
      </c>
      <c r="J30" s="21">
        <f t="shared" ca="1" si="0"/>
        <v>572</v>
      </c>
      <c r="K30" s="20" t="str">
        <f t="shared" ca="1" si="1"/>
        <v>Overdue</v>
      </c>
    </row>
    <row r="31" spans="1:11" x14ac:dyDescent="0.3">
      <c r="A31" s="18" t="s">
        <v>38</v>
      </c>
      <c r="B31" s="18" t="s">
        <v>812</v>
      </c>
      <c r="C31" s="19">
        <v>44991</v>
      </c>
      <c r="D31" s="19">
        <v>45021</v>
      </c>
      <c r="E31" s="17">
        <v>4007.29</v>
      </c>
      <c r="F31" s="20" t="s">
        <v>815</v>
      </c>
      <c r="G31" s="20" t="s">
        <v>819</v>
      </c>
      <c r="H31" s="20" t="s">
        <v>823</v>
      </c>
      <c r="I31" s="20" t="s">
        <v>822</v>
      </c>
      <c r="J31" s="21">
        <f t="shared" ca="1" si="0"/>
        <v>1174</v>
      </c>
      <c r="K31" s="20" t="str">
        <f t="shared" ca="1" si="1"/>
        <v>Overdue</v>
      </c>
    </row>
    <row r="32" spans="1:11" x14ac:dyDescent="0.3">
      <c r="A32" s="18" t="s">
        <v>39</v>
      </c>
      <c r="B32" s="18" t="s">
        <v>810</v>
      </c>
      <c r="C32" s="19">
        <v>45335</v>
      </c>
      <c r="D32" s="19">
        <v>45365</v>
      </c>
      <c r="E32" s="17">
        <v>2884.32</v>
      </c>
      <c r="F32" s="20" t="s">
        <v>815</v>
      </c>
      <c r="G32" s="20" t="s">
        <v>820</v>
      </c>
      <c r="H32" s="20" t="s">
        <v>823</v>
      </c>
      <c r="I32" s="20" t="s">
        <v>822</v>
      </c>
      <c r="J32" s="21">
        <f t="shared" ca="1" si="0"/>
        <v>830</v>
      </c>
      <c r="K32" s="20" t="str">
        <f t="shared" ca="1" si="1"/>
        <v>Overdue</v>
      </c>
    </row>
    <row r="33" spans="1:11" x14ac:dyDescent="0.3">
      <c r="A33" s="18" t="s">
        <v>40</v>
      </c>
      <c r="B33" s="18" t="s">
        <v>810</v>
      </c>
      <c r="C33" s="19">
        <v>45000</v>
      </c>
      <c r="D33" s="19">
        <v>45030</v>
      </c>
      <c r="E33" s="17">
        <v>4830.24</v>
      </c>
      <c r="F33" s="20" t="s">
        <v>814</v>
      </c>
      <c r="G33" s="20" t="s">
        <v>821</v>
      </c>
      <c r="H33" s="22">
        <v>45030</v>
      </c>
      <c r="I33" s="20" t="s">
        <v>822</v>
      </c>
      <c r="J33" s="21">
        <f t="shared" ca="1" si="0"/>
        <v>1165</v>
      </c>
      <c r="K33" s="20" t="str">
        <f t="shared" ca="1" si="1"/>
        <v>OK</v>
      </c>
    </row>
    <row r="34" spans="1:11" x14ac:dyDescent="0.3">
      <c r="A34" s="18" t="s">
        <v>41</v>
      </c>
      <c r="B34" s="18" t="s">
        <v>812</v>
      </c>
      <c r="C34" s="19">
        <v>45210</v>
      </c>
      <c r="D34" s="19">
        <v>45240</v>
      </c>
      <c r="E34" s="17">
        <v>4841.22</v>
      </c>
      <c r="F34" s="20" t="s">
        <v>817</v>
      </c>
      <c r="G34" s="20" t="s">
        <v>821</v>
      </c>
      <c r="H34" s="22">
        <v>45240</v>
      </c>
      <c r="I34" s="20" t="s">
        <v>822</v>
      </c>
      <c r="J34" s="21">
        <f t="shared" ca="1" si="0"/>
        <v>955</v>
      </c>
      <c r="K34" s="20" t="str">
        <f t="shared" ca="1" si="1"/>
        <v>OK</v>
      </c>
    </row>
    <row r="35" spans="1:11" x14ac:dyDescent="0.3">
      <c r="A35" s="18" t="s">
        <v>42</v>
      </c>
      <c r="B35" s="18" t="s">
        <v>811</v>
      </c>
      <c r="C35" s="19">
        <v>45598</v>
      </c>
      <c r="D35" s="19">
        <v>45628</v>
      </c>
      <c r="E35" s="17">
        <v>3601.17</v>
      </c>
      <c r="F35" s="20" t="s">
        <v>818</v>
      </c>
      <c r="G35" s="20" t="s">
        <v>819</v>
      </c>
      <c r="H35" s="20" t="s">
        <v>823</v>
      </c>
      <c r="I35" s="20" t="s">
        <v>822</v>
      </c>
      <c r="J35" s="21">
        <f t="shared" ca="1" si="0"/>
        <v>567</v>
      </c>
      <c r="K35" s="20" t="str">
        <f t="shared" ca="1" si="1"/>
        <v>Overdue</v>
      </c>
    </row>
    <row r="36" spans="1:11" x14ac:dyDescent="0.3">
      <c r="A36" s="18" t="s">
        <v>43</v>
      </c>
      <c r="B36" s="18" t="s">
        <v>810</v>
      </c>
      <c r="C36" s="19">
        <v>45668</v>
      </c>
      <c r="D36" s="19">
        <v>45698</v>
      </c>
      <c r="E36" s="17">
        <v>3913.65</v>
      </c>
      <c r="F36" s="20" t="s">
        <v>816</v>
      </c>
      <c r="G36" s="20" t="s">
        <v>821</v>
      </c>
      <c r="H36" s="22">
        <v>45698</v>
      </c>
      <c r="I36" s="20" t="s">
        <v>822</v>
      </c>
      <c r="J36" s="21">
        <f t="shared" ca="1" si="0"/>
        <v>497</v>
      </c>
      <c r="K36" s="20" t="str">
        <f t="shared" ca="1" si="1"/>
        <v>OK</v>
      </c>
    </row>
    <row r="37" spans="1:11" x14ac:dyDescent="0.3">
      <c r="A37" s="18" t="s">
        <v>44</v>
      </c>
      <c r="B37" s="18" t="s">
        <v>811</v>
      </c>
      <c r="C37" s="19">
        <v>45025</v>
      </c>
      <c r="D37" s="19">
        <v>45055</v>
      </c>
      <c r="E37" s="17">
        <v>1117.52</v>
      </c>
      <c r="F37" s="20" t="s">
        <v>815</v>
      </c>
      <c r="G37" s="20" t="s">
        <v>819</v>
      </c>
      <c r="H37" s="20" t="s">
        <v>823</v>
      </c>
      <c r="I37" s="20" t="s">
        <v>822</v>
      </c>
      <c r="J37" s="21">
        <f t="shared" ca="1" si="0"/>
        <v>1140</v>
      </c>
      <c r="K37" s="20" t="str">
        <f t="shared" ca="1" si="1"/>
        <v>Overdue</v>
      </c>
    </row>
    <row r="38" spans="1:11" x14ac:dyDescent="0.3">
      <c r="A38" s="18" t="s">
        <v>45</v>
      </c>
      <c r="B38" s="18" t="s">
        <v>809</v>
      </c>
      <c r="C38" s="19">
        <v>45128</v>
      </c>
      <c r="D38" s="19">
        <v>45158</v>
      </c>
      <c r="E38" s="17">
        <v>4178.2</v>
      </c>
      <c r="F38" s="20" t="s">
        <v>815</v>
      </c>
      <c r="G38" s="20" t="s">
        <v>820</v>
      </c>
      <c r="H38" s="20" t="s">
        <v>823</v>
      </c>
      <c r="I38" s="20" t="s">
        <v>822</v>
      </c>
      <c r="J38" s="21">
        <f t="shared" ca="1" si="0"/>
        <v>1037</v>
      </c>
      <c r="K38" s="20" t="str">
        <f t="shared" ca="1" si="1"/>
        <v>Overdue</v>
      </c>
    </row>
    <row r="39" spans="1:11" x14ac:dyDescent="0.3">
      <c r="A39" s="18" t="s">
        <v>46</v>
      </c>
      <c r="B39" s="18" t="s">
        <v>812</v>
      </c>
      <c r="C39" s="19">
        <v>45504</v>
      </c>
      <c r="D39" s="19">
        <v>45534</v>
      </c>
      <c r="E39" s="17">
        <v>504.02</v>
      </c>
      <c r="F39" s="20" t="s">
        <v>817</v>
      </c>
      <c r="G39" s="20" t="s">
        <v>820</v>
      </c>
      <c r="H39" s="20" t="s">
        <v>823</v>
      </c>
      <c r="I39" s="20" t="s">
        <v>822</v>
      </c>
      <c r="J39" s="21">
        <f t="shared" ca="1" si="0"/>
        <v>661</v>
      </c>
      <c r="K39" s="20" t="str">
        <f t="shared" ca="1" si="1"/>
        <v>Overdue</v>
      </c>
    </row>
    <row r="40" spans="1:11" x14ac:dyDescent="0.3">
      <c r="A40" s="18" t="s">
        <v>47</v>
      </c>
      <c r="B40" s="18" t="s">
        <v>809</v>
      </c>
      <c r="C40" s="19">
        <v>44934</v>
      </c>
      <c r="D40" s="19">
        <v>44964</v>
      </c>
      <c r="E40" s="17">
        <v>3156.05</v>
      </c>
      <c r="F40" s="20" t="s">
        <v>816</v>
      </c>
      <c r="G40" s="20" t="s">
        <v>819</v>
      </c>
      <c r="H40" s="20" t="s">
        <v>823</v>
      </c>
      <c r="I40" s="20" t="s">
        <v>822</v>
      </c>
      <c r="J40" s="21">
        <f t="shared" ca="1" si="0"/>
        <v>1231</v>
      </c>
      <c r="K40" s="20" t="str">
        <f t="shared" ca="1" si="1"/>
        <v>Overdue</v>
      </c>
    </row>
    <row r="41" spans="1:11" x14ac:dyDescent="0.3">
      <c r="A41" s="18" t="s">
        <v>48</v>
      </c>
      <c r="B41" s="18" t="s">
        <v>812</v>
      </c>
      <c r="C41" s="19">
        <v>45108</v>
      </c>
      <c r="D41" s="19">
        <v>45138</v>
      </c>
      <c r="E41" s="17">
        <v>3284.77</v>
      </c>
      <c r="F41" s="20" t="s">
        <v>814</v>
      </c>
      <c r="G41" s="20" t="s">
        <v>820</v>
      </c>
      <c r="H41" s="20" t="s">
        <v>823</v>
      </c>
      <c r="I41" s="20" t="s">
        <v>822</v>
      </c>
      <c r="J41" s="21">
        <f t="shared" ca="1" si="0"/>
        <v>1057</v>
      </c>
      <c r="K41" s="20" t="str">
        <f t="shared" ca="1" si="1"/>
        <v>Overdue</v>
      </c>
    </row>
    <row r="42" spans="1:11" x14ac:dyDescent="0.3">
      <c r="A42" s="18" t="s">
        <v>49</v>
      </c>
      <c r="B42" s="18" t="s">
        <v>812</v>
      </c>
      <c r="C42" s="19">
        <v>45801</v>
      </c>
      <c r="D42" s="19">
        <v>45831</v>
      </c>
      <c r="E42" s="17">
        <v>4519.76</v>
      </c>
      <c r="F42" s="20" t="s">
        <v>817</v>
      </c>
      <c r="G42" s="20" t="s">
        <v>819</v>
      </c>
      <c r="H42" s="20" t="s">
        <v>823</v>
      </c>
      <c r="I42" s="20" t="s">
        <v>822</v>
      </c>
      <c r="J42" s="21">
        <f t="shared" ca="1" si="0"/>
        <v>364</v>
      </c>
      <c r="K42" s="20" t="str">
        <f t="shared" ca="1" si="1"/>
        <v>Overdue</v>
      </c>
    </row>
    <row r="43" spans="1:11" x14ac:dyDescent="0.3">
      <c r="A43" s="18" t="s">
        <v>50</v>
      </c>
      <c r="B43" s="18" t="s">
        <v>809</v>
      </c>
      <c r="C43" s="19">
        <v>45313</v>
      </c>
      <c r="D43" s="19">
        <v>45343</v>
      </c>
      <c r="E43" s="17">
        <v>4094.28</v>
      </c>
      <c r="F43" s="20" t="s">
        <v>814</v>
      </c>
      <c r="G43" s="20" t="s">
        <v>820</v>
      </c>
      <c r="H43" s="20" t="s">
        <v>823</v>
      </c>
      <c r="I43" s="20" t="s">
        <v>822</v>
      </c>
      <c r="J43" s="21">
        <f t="shared" ca="1" si="0"/>
        <v>852</v>
      </c>
      <c r="K43" s="20" t="str">
        <f t="shared" ca="1" si="1"/>
        <v>Overdue</v>
      </c>
    </row>
    <row r="44" spans="1:11" x14ac:dyDescent="0.3">
      <c r="A44" s="18" t="s">
        <v>51</v>
      </c>
      <c r="B44" s="18" t="s">
        <v>809</v>
      </c>
      <c r="C44" s="19">
        <v>44967</v>
      </c>
      <c r="D44" s="19">
        <v>44997</v>
      </c>
      <c r="E44" s="17">
        <v>3097.79</v>
      </c>
      <c r="F44" s="20" t="s">
        <v>814</v>
      </c>
      <c r="G44" s="20" t="s">
        <v>821</v>
      </c>
      <c r="H44" s="22">
        <v>44997</v>
      </c>
      <c r="I44" s="20" t="s">
        <v>822</v>
      </c>
      <c r="J44" s="21">
        <f t="shared" ca="1" si="0"/>
        <v>1198</v>
      </c>
      <c r="K44" s="20" t="str">
        <f t="shared" ca="1" si="1"/>
        <v>OK</v>
      </c>
    </row>
    <row r="45" spans="1:11" x14ac:dyDescent="0.3">
      <c r="A45" s="18" t="s">
        <v>52</v>
      </c>
      <c r="B45" s="18" t="s">
        <v>810</v>
      </c>
      <c r="C45" s="19">
        <v>45809</v>
      </c>
      <c r="D45" s="19">
        <v>45839</v>
      </c>
      <c r="E45" s="17">
        <v>1415.24</v>
      </c>
      <c r="F45" s="20" t="s">
        <v>818</v>
      </c>
      <c r="G45" s="20" t="s">
        <v>820</v>
      </c>
      <c r="H45" s="20" t="s">
        <v>823</v>
      </c>
      <c r="I45" s="20" t="s">
        <v>822</v>
      </c>
      <c r="J45" s="21">
        <f t="shared" ca="1" si="0"/>
        <v>356</v>
      </c>
      <c r="K45" s="20" t="str">
        <f t="shared" ca="1" si="1"/>
        <v>Overdue</v>
      </c>
    </row>
    <row r="46" spans="1:11" x14ac:dyDescent="0.3">
      <c r="A46" s="18" t="s">
        <v>53</v>
      </c>
      <c r="B46" s="18" t="s">
        <v>809</v>
      </c>
      <c r="C46" s="19">
        <v>45102</v>
      </c>
      <c r="D46" s="19">
        <v>45132</v>
      </c>
      <c r="E46" s="17">
        <v>3224.33</v>
      </c>
      <c r="F46" s="20" t="s">
        <v>816</v>
      </c>
      <c r="G46" s="20" t="s">
        <v>820</v>
      </c>
      <c r="H46" s="20" t="s">
        <v>823</v>
      </c>
      <c r="I46" s="20" t="s">
        <v>822</v>
      </c>
      <c r="J46" s="21">
        <f t="shared" ca="1" si="0"/>
        <v>1063</v>
      </c>
      <c r="K46" s="20" t="str">
        <f t="shared" ca="1" si="1"/>
        <v>Overdue</v>
      </c>
    </row>
    <row r="47" spans="1:11" x14ac:dyDescent="0.3">
      <c r="A47" s="18" t="s">
        <v>54</v>
      </c>
      <c r="B47" s="18" t="s">
        <v>813</v>
      </c>
      <c r="C47" s="19">
        <v>45103</v>
      </c>
      <c r="D47" s="19">
        <v>45133</v>
      </c>
      <c r="E47" s="17">
        <v>1164.49</v>
      </c>
      <c r="F47" s="20" t="s">
        <v>817</v>
      </c>
      <c r="G47" s="20" t="s">
        <v>820</v>
      </c>
      <c r="H47" s="20" t="s">
        <v>823</v>
      </c>
      <c r="I47" s="20" t="s">
        <v>822</v>
      </c>
      <c r="J47" s="21">
        <f t="shared" ca="1" si="0"/>
        <v>1062</v>
      </c>
      <c r="K47" s="20" t="str">
        <f t="shared" ca="1" si="1"/>
        <v>Overdue</v>
      </c>
    </row>
    <row r="48" spans="1:11" x14ac:dyDescent="0.3">
      <c r="A48" s="18" t="s">
        <v>55</v>
      </c>
      <c r="B48" s="18" t="s">
        <v>813</v>
      </c>
      <c r="C48" s="19">
        <v>45668</v>
      </c>
      <c r="D48" s="19">
        <v>45698</v>
      </c>
      <c r="E48" s="17">
        <v>2557.61</v>
      </c>
      <c r="F48" s="20" t="s">
        <v>817</v>
      </c>
      <c r="G48" s="20" t="s">
        <v>821</v>
      </c>
      <c r="H48" s="22">
        <v>45698</v>
      </c>
      <c r="I48" s="20" t="s">
        <v>822</v>
      </c>
      <c r="J48" s="21">
        <f t="shared" ca="1" si="0"/>
        <v>497</v>
      </c>
      <c r="K48" s="20" t="str">
        <f t="shared" ca="1" si="1"/>
        <v>OK</v>
      </c>
    </row>
    <row r="49" spans="1:11" x14ac:dyDescent="0.3">
      <c r="A49" s="18" t="s">
        <v>56</v>
      </c>
      <c r="B49" s="18" t="s">
        <v>809</v>
      </c>
      <c r="C49" s="19">
        <v>45682</v>
      </c>
      <c r="D49" s="19">
        <v>45712</v>
      </c>
      <c r="E49" s="17">
        <v>393.4</v>
      </c>
      <c r="F49" s="20" t="s">
        <v>816</v>
      </c>
      <c r="G49" s="20" t="s">
        <v>819</v>
      </c>
      <c r="H49" s="20" t="s">
        <v>823</v>
      </c>
      <c r="I49" s="20" t="s">
        <v>822</v>
      </c>
      <c r="J49" s="21">
        <f t="shared" ca="1" si="0"/>
        <v>483</v>
      </c>
      <c r="K49" s="20" t="str">
        <f t="shared" ca="1" si="1"/>
        <v>Overdue</v>
      </c>
    </row>
    <row r="50" spans="1:11" x14ac:dyDescent="0.3">
      <c r="A50" s="18" t="s">
        <v>57</v>
      </c>
      <c r="B50" s="18" t="s">
        <v>812</v>
      </c>
      <c r="C50" s="19">
        <v>45733</v>
      </c>
      <c r="D50" s="19">
        <v>45763</v>
      </c>
      <c r="E50" s="17">
        <v>2307.0500000000002</v>
      </c>
      <c r="F50" s="20" t="s">
        <v>815</v>
      </c>
      <c r="G50" s="20" t="s">
        <v>821</v>
      </c>
      <c r="H50" s="22">
        <v>45763</v>
      </c>
      <c r="I50" s="20" t="s">
        <v>822</v>
      </c>
      <c r="J50" s="21">
        <f t="shared" ca="1" si="0"/>
        <v>432</v>
      </c>
      <c r="K50" s="20" t="str">
        <f t="shared" ca="1" si="1"/>
        <v>OK</v>
      </c>
    </row>
    <row r="51" spans="1:11" x14ac:dyDescent="0.3">
      <c r="A51" s="18" t="s">
        <v>58</v>
      </c>
      <c r="B51" s="18" t="s">
        <v>809</v>
      </c>
      <c r="C51" s="19">
        <v>45197</v>
      </c>
      <c r="D51" s="19">
        <v>45227</v>
      </c>
      <c r="E51" s="17">
        <v>728.35</v>
      </c>
      <c r="F51" s="20" t="s">
        <v>816</v>
      </c>
      <c r="G51" s="20" t="s">
        <v>821</v>
      </c>
      <c r="H51" s="22">
        <v>45227</v>
      </c>
      <c r="I51" s="20" t="s">
        <v>822</v>
      </c>
      <c r="J51" s="21">
        <f t="shared" ca="1" si="0"/>
        <v>968</v>
      </c>
      <c r="K51" s="20" t="str">
        <f t="shared" ca="1" si="1"/>
        <v>OK</v>
      </c>
    </row>
    <row r="52" spans="1:11" x14ac:dyDescent="0.3">
      <c r="A52" s="18" t="s">
        <v>59</v>
      </c>
      <c r="B52" s="18" t="s">
        <v>810</v>
      </c>
      <c r="C52" s="19">
        <v>45801</v>
      </c>
      <c r="D52" s="19">
        <v>45831</v>
      </c>
      <c r="E52" s="17">
        <v>3580.44</v>
      </c>
      <c r="F52" s="20" t="s">
        <v>816</v>
      </c>
      <c r="G52" s="20" t="s">
        <v>819</v>
      </c>
      <c r="H52" s="20" t="s">
        <v>823</v>
      </c>
      <c r="I52" s="20" t="s">
        <v>822</v>
      </c>
      <c r="J52" s="21">
        <f t="shared" ca="1" si="0"/>
        <v>364</v>
      </c>
      <c r="K52" s="20" t="str">
        <f t="shared" ca="1" si="1"/>
        <v>Overdue</v>
      </c>
    </row>
    <row r="53" spans="1:11" x14ac:dyDescent="0.3">
      <c r="A53" s="18" t="s">
        <v>60</v>
      </c>
      <c r="B53" s="18" t="s">
        <v>809</v>
      </c>
      <c r="C53" s="19">
        <v>45382</v>
      </c>
      <c r="D53" s="19">
        <v>45412</v>
      </c>
      <c r="E53" s="17">
        <v>1527.67</v>
      </c>
      <c r="F53" s="20" t="s">
        <v>818</v>
      </c>
      <c r="G53" s="20" t="s">
        <v>821</v>
      </c>
      <c r="H53" s="22">
        <v>45412</v>
      </c>
      <c r="I53" s="20" t="s">
        <v>822</v>
      </c>
      <c r="J53" s="21">
        <f t="shared" ca="1" si="0"/>
        <v>783</v>
      </c>
      <c r="K53" s="20" t="str">
        <f t="shared" ca="1" si="1"/>
        <v>OK</v>
      </c>
    </row>
    <row r="54" spans="1:11" x14ac:dyDescent="0.3">
      <c r="A54" s="18" t="s">
        <v>61</v>
      </c>
      <c r="B54" s="18" t="s">
        <v>809</v>
      </c>
      <c r="C54" s="19">
        <v>45039</v>
      </c>
      <c r="D54" s="19">
        <v>45069</v>
      </c>
      <c r="E54" s="17">
        <v>3014.35</v>
      </c>
      <c r="F54" s="20" t="s">
        <v>815</v>
      </c>
      <c r="G54" s="20" t="s">
        <v>821</v>
      </c>
      <c r="H54" s="22">
        <v>45069</v>
      </c>
      <c r="I54" s="20" t="s">
        <v>822</v>
      </c>
      <c r="J54" s="21">
        <f t="shared" ca="1" si="0"/>
        <v>1126</v>
      </c>
      <c r="K54" s="20" t="str">
        <f t="shared" ca="1" si="1"/>
        <v>OK</v>
      </c>
    </row>
    <row r="55" spans="1:11" x14ac:dyDescent="0.3">
      <c r="A55" s="18" t="s">
        <v>62</v>
      </c>
      <c r="B55" s="18" t="s">
        <v>811</v>
      </c>
      <c r="C55" s="19">
        <v>45162</v>
      </c>
      <c r="D55" s="19">
        <v>45192</v>
      </c>
      <c r="E55" s="17">
        <v>3099.88</v>
      </c>
      <c r="F55" s="20" t="s">
        <v>815</v>
      </c>
      <c r="G55" s="20" t="s">
        <v>820</v>
      </c>
      <c r="H55" s="20" t="s">
        <v>823</v>
      </c>
      <c r="I55" s="20" t="s">
        <v>822</v>
      </c>
      <c r="J55" s="21">
        <f t="shared" ca="1" si="0"/>
        <v>1003</v>
      </c>
      <c r="K55" s="20" t="str">
        <f t="shared" ca="1" si="1"/>
        <v>Overdue</v>
      </c>
    </row>
    <row r="56" spans="1:11" x14ac:dyDescent="0.3">
      <c r="A56" s="18" t="s">
        <v>63</v>
      </c>
      <c r="B56" s="18" t="s">
        <v>809</v>
      </c>
      <c r="C56" s="19">
        <v>45055</v>
      </c>
      <c r="D56" s="19">
        <v>45085</v>
      </c>
      <c r="E56" s="17">
        <v>1484.54</v>
      </c>
      <c r="F56" s="20" t="s">
        <v>818</v>
      </c>
      <c r="G56" s="20" t="s">
        <v>820</v>
      </c>
      <c r="H56" s="20" t="s">
        <v>823</v>
      </c>
      <c r="I56" s="20" t="s">
        <v>822</v>
      </c>
      <c r="J56" s="21">
        <f t="shared" ca="1" si="0"/>
        <v>1110</v>
      </c>
      <c r="K56" s="20" t="str">
        <f t="shared" ca="1" si="1"/>
        <v>Overdue</v>
      </c>
    </row>
    <row r="57" spans="1:11" x14ac:dyDescent="0.3">
      <c r="A57" s="18" t="s">
        <v>64</v>
      </c>
      <c r="B57" s="18" t="s">
        <v>813</v>
      </c>
      <c r="C57" s="19">
        <v>45279</v>
      </c>
      <c r="D57" s="19">
        <v>45309</v>
      </c>
      <c r="E57" s="17">
        <v>2922.4</v>
      </c>
      <c r="F57" s="20" t="s">
        <v>818</v>
      </c>
      <c r="G57" s="20" t="s">
        <v>820</v>
      </c>
      <c r="H57" s="20" t="s">
        <v>823</v>
      </c>
      <c r="I57" s="20" t="s">
        <v>822</v>
      </c>
      <c r="J57" s="21">
        <f t="shared" ca="1" si="0"/>
        <v>886</v>
      </c>
      <c r="K57" s="20" t="str">
        <f t="shared" ca="1" si="1"/>
        <v>Overdue</v>
      </c>
    </row>
    <row r="58" spans="1:11" x14ac:dyDescent="0.3">
      <c r="A58" s="18" t="s">
        <v>65</v>
      </c>
      <c r="B58" s="18" t="s">
        <v>812</v>
      </c>
      <c r="C58" s="19">
        <v>45238</v>
      </c>
      <c r="D58" s="19">
        <v>45268</v>
      </c>
      <c r="E58" s="17">
        <v>422.98</v>
      </c>
      <c r="F58" s="20" t="s">
        <v>817</v>
      </c>
      <c r="G58" s="20" t="s">
        <v>821</v>
      </c>
      <c r="H58" s="22">
        <v>45268</v>
      </c>
      <c r="I58" s="20" t="s">
        <v>822</v>
      </c>
      <c r="J58" s="21">
        <f t="shared" ca="1" si="0"/>
        <v>927</v>
      </c>
      <c r="K58" s="20" t="str">
        <f t="shared" ca="1" si="1"/>
        <v>OK</v>
      </c>
    </row>
    <row r="59" spans="1:11" x14ac:dyDescent="0.3">
      <c r="A59" s="18" t="s">
        <v>66</v>
      </c>
      <c r="B59" s="18" t="s">
        <v>809</v>
      </c>
      <c r="C59" s="19">
        <v>44929</v>
      </c>
      <c r="D59" s="19">
        <v>44959</v>
      </c>
      <c r="E59" s="17">
        <v>2784.23</v>
      </c>
      <c r="F59" s="20" t="s">
        <v>817</v>
      </c>
      <c r="G59" s="20" t="s">
        <v>820</v>
      </c>
      <c r="H59" s="20" t="s">
        <v>823</v>
      </c>
      <c r="I59" s="20" t="s">
        <v>822</v>
      </c>
      <c r="J59" s="21">
        <f t="shared" ca="1" si="0"/>
        <v>1236</v>
      </c>
      <c r="K59" s="20" t="str">
        <f t="shared" ca="1" si="1"/>
        <v>Overdue</v>
      </c>
    </row>
    <row r="60" spans="1:11" x14ac:dyDescent="0.3">
      <c r="A60" s="18" t="s">
        <v>67</v>
      </c>
      <c r="B60" s="18" t="s">
        <v>813</v>
      </c>
      <c r="C60" s="19">
        <v>45462</v>
      </c>
      <c r="D60" s="19">
        <v>45492</v>
      </c>
      <c r="E60" s="17">
        <v>2946.12</v>
      </c>
      <c r="F60" s="20" t="s">
        <v>815</v>
      </c>
      <c r="G60" s="20" t="s">
        <v>819</v>
      </c>
      <c r="H60" s="20" t="s">
        <v>823</v>
      </c>
      <c r="I60" s="20" t="s">
        <v>822</v>
      </c>
      <c r="J60" s="21">
        <f t="shared" ca="1" si="0"/>
        <v>703</v>
      </c>
      <c r="K60" s="20" t="str">
        <f t="shared" ca="1" si="1"/>
        <v>Overdue</v>
      </c>
    </row>
    <row r="61" spans="1:11" x14ac:dyDescent="0.3">
      <c r="A61" s="18" t="s">
        <v>68</v>
      </c>
      <c r="B61" s="18" t="s">
        <v>809</v>
      </c>
      <c r="C61" s="19">
        <v>45725</v>
      </c>
      <c r="D61" s="19">
        <v>45755</v>
      </c>
      <c r="E61" s="17">
        <v>578.58000000000004</v>
      </c>
      <c r="F61" s="20" t="s">
        <v>816</v>
      </c>
      <c r="G61" s="20" t="s">
        <v>820</v>
      </c>
      <c r="H61" s="20" t="s">
        <v>823</v>
      </c>
      <c r="I61" s="20" t="s">
        <v>822</v>
      </c>
      <c r="J61" s="21">
        <f t="shared" ca="1" si="0"/>
        <v>440</v>
      </c>
      <c r="K61" s="20" t="str">
        <f t="shared" ca="1" si="1"/>
        <v>Overdue</v>
      </c>
    </row>
    <row r="62" spans="1:11" x14ac:dyDescent="0.3">
      <c r="A62" s="18" t="s">
        <v>69</v>
      </c>
      <c r="B62" s="18" t="s">
        <v>809</v>
      </c>
      <c r="C62" s="19">
        <v>45440</v>
      </c>
      <c r="D62" s="19">
        <v>45470</v>
      </c>
      <c r="E62" s="17">
        <v>3849.56</v>
      </c>
      <c r="F62" s="20" t="s">
        <v>816</v>
      </c>
      <c r="G62" s="20" t="s">
        <v>821</v>
      </c>
      <c r="H62" s="22">
        <v>45470</v>
      </c>
      <c r="I62" s="20" t="s">
        <v>822</v>
      </c>
      <c r="J62" s="21">
        <f t="shared" ca="1" si="0"/>
        <v>725</v>
      </c>
      <c r="K62" s="20" t="str">
        <f t="shared" ca="1" si="1"/>
        <v>OK</v>
      </c>
    </row>
    <row r="63" spans="1:11" x14ac:dyDescent="0.3">
      <c r="A63" s="18" t="s">
        <v>70</v>
      </c>
      <c r="B63" s="18" t="s">
        <v>809</v>
      </c>
      <c r="C63" s="19">
        <v>45408</v>
      </c>
      <c r="D63" s="19">
        <v>45438</v>
      </c>
      <c r="E63" s="17">
        <v>2055.5300000000002</v>
      </c>
      <c r="F63" s="20" t="s">
        <v>815</v>
      </c>
      <c r="G63" s="20" t="s">
        <v>820</v>
      </c>
      <c r="H63" s="20" t="s">
        <v>823</v>
      </c>
      <c r="I63" s="20" t="s">
        <v>822</v>
      </c>
      <c r="J63" s="21">
        <f t="shared" ca="1" si="0"/>
        <v>757</v>
      </c>
      <c r="K63" s="20" t="str">
        <f t="shared" ca="1" si="1"/>
        <v>Overdue</v>
      </c>
    </row>
    <row r="64" spans="1:11" x14ac:dyDescent="0.3">
      <c r="A64" s="18" t="s">
        <v>71</v>
      </c>
      <c r="B64" s="18" t="s">
        <v>811</v>
      </c>
      <c r="C64" s="19">
        <v>44981</v>
      </c>
      <c r="D64" s="19">
        <v>45011</v>
      </c>
      <c r="E64" s="17">
        <v>2185.3200000000002</v>
      </c>
      <c r="F64" s="20" t="s">
        <v>818</v>
      </c>
      <c r="G64" s="20" t="s">
        <v>821</v>
      </c>
      <c r="H64" s="22">
        <v>45011</v>
      </c>
      <c r="I64" s="20" t="s">
        <v>822</v>
      </c>
      <c r="J64" s="21">
        <f t="shared" ca="1" si="0"/>
        <v>1184</v>
      </c>
      <c r="K64" s="20" t="str">
        <f t="shared" ca="1" si="1"/>
        <v>OK</v>
      </c>
    </row>
    <row r="65" spans="1:11" x14ac:dyDescent="0.3">
      <c r="A65" s="18" t="s">
        <v>72</v>
      </c>
      <c r="B65" s="18" t="s">
        <v>809</v>
      </c>
      <c r="C65" s="19">
        <v>45703</v>
      </c>
      <c r="D65" s="19">
        <v>45733</v>
      </c>
      <c r="E65" s="17">
        <v>3382.98</v>
      </c>
      <c r="F65" s="20" t="s">
        <v>816</v>
      </c>
      <c r="G65" s="20" t="s">
        <v>821</v>
      </c>
      <c r="H65" s="22">
        <v>45733</v>
      </c>
      <c r="I65" s="20" t="s">
        <v>822</v>
      </c>
      <c r="J65" s="21">
        <f t="shared" ca="1" si="0"/>
        <v>462</v>
      </c>
      <c r="K65" s="20" t="str">
        <f t="shared" ca="1" si="1"/>
        <v>OK</v>
      </c>
    </row>
    <row r="66" spans="1:11" x14ac:dyDescent="0.3">
      <c r="A66" s="18" t="s">
        <v>73</v>
      </c>
      <c r="B66" s="18" t="s">
        <v>810</v>
      </c>
      <c r="C66" s="19">
        <v>45404</v>
      </c>
      <c r="D66" s="19">
        <v>45434</v>
      </c>
      <c r="E66" s="17">
        <v>3571.55</v>
      </c>
      <c r="F66" s="20" t="s">
        <v>816</v>
      </c>
      <c r="G66" s="20" t="s">
        <v>820</v>
      </c>
      <c r="H66" s="20" t="s">
        <v>823</v>
      </c>
      <c r="I66" s="20" t="s">
        <v>822</v>
      </c>
      <c r="J66" s="21">
        <f t="shared" ref="J66:J129" ca="1" si="2">TODAY()-D66</f>
        <v>761</v>
      </c>
      <c r="K66" s="20" t="str">
        <f t="shared" ref="K66:K129" ca="1" si="3">IF(AND(TODAY()&gt;D66,G66&lt;&gt;"Paid"),"Overdue","OK")</f>
        <v>Overdue</v>
      </c>
    </row>
    <row r="67" spans="1:11" x14ac:dyDescent="0.3">
      <c r="A67" s="18" t="s">
        <v>74</v>
      </c>
      <c r="B67" s="18" t="s">
        <v>811</v>
      </c>
      <c r="C67" s="19">
        <v>45762</v>
      </c>
      <c r="D67" s="19">
        <v>45792</v>
      </c>
      <c r="E67" s="17">
        <v>2137.4499999999998</v>
      </c>
      <c r="F67" s="20" t="s">
        <v>817</v>
      </c>
      <c r="G67" s="20" t="s">
        <v>819</v>
      </c>
      <c r="H67" s="20" t="s">
        <v>823</v>
      </c>
      <c r="I67" s="20" t="s">
        <v>822</v>
      </c>
      <c r="J67" s="21">
        <f t="shared" ca="1" si="2"/>
        <v>403</v>
      </c>
      <c r="K67" s="20" t="str">
        <f t="shared" ca="1" si="3"/>
        <v>Overdue</v>
      </c>
    </row>
    <row r="68" spans="1:11" x14ac:dyDescent="0.3">
      <c r="A68" s="18" t="s">
        <v>75</v>
      </c>
      <c r="B68" s="18" t="s">
        <v>813</v>
      </c>
      <c r="C68" s="19">
        <v>45697</v>
      </c>
      <c r="D68" s="19">
        <v>45727</v>
      </c>
      <c r="E68" s="17">
        <v>3793.28</v>
      </c>
      <c r="F68" s="20" t="s">
        <v>817</v>
      </c>
      <c r="G68" s="20" t="s">
        <v>821</v>
      </c>
      <c r="H68" s="22">
        <v>45727</v>
      </c>
      <c r="I68" s="20" t="s">
        <v>822</v>
      </c>
      <c r="J68" s="21">
        <f t="shared" ca="1" si="2"/>
        <v>468</v>
      </c>
      <c r="K68" s="20" t="str">
        <f t="shared" ca="1" si="3"/>
        <v>OK</v>
      </c>
    </row>
    <row r="69" spans="1:11" x14ac:dyDescent="0.3">
      <c r="A69" s="18" t="s">
        <v>76</v>
      </c>
      <c r="B69" s="18" t="s">
        <v>809</v>
      </c>
      <c r="C69" s="19">
        <v>45660</v>
      </c>
      <c r="D69" s="19">
        <v>45690</v>
      </c>
      <c r="E69" s="17">
        <v>2973.27</v>
      </c>
      <c r="F69" s="20" t="s">
        <v>815</v>
      </c>
      <c r="G69" s="20" t="s">
        <v>821</v>
      </c>
      <c r="H69" s="22">
        <v>45690</v>
      </c>
      <c r="I69" s="20" t="s">
        <v>822</v>
      </c>
      <c r="J69" s="21">
        <f t="shared" ca="1" si="2"/>
        <v>505</v>
      </c>
      <c r="K69" s="20" t="str">
        <f t="shared" ca="1" si="3"/>
        <v>OK</v>
      </c>
    </row>
    <row r="70" spans="1:11" x14ac:dyDescent="0.3">
      <c r="A70" s="18" t="s">
        <v>77</v>
      </c>
      <c r="B70" s="18" t="s">
        <v>809</v>
      </c>
      <c r="C70" s="19">
        <v>45497</v>
      </c>
      <c r="D70" s="19">
        <v>45527</v>
      </c>
      <c r="E70" s="17">
        <v>4968.32</v>
      </c>
      <c r="F70" s="20" t="s">
        <v>817</v>
      </c>
      <c r="G70" s="20" t="s">
        <v>819</v>
      </c>
      <c r="H70" s="20" t="s">
        <v>823</v>
      </c>
      <c r="I70" s="20" t="s">
        <v>822</v>
      </c>
      <c r="J70" s="21">
        <f t="shared" ca="1" si="2"/>
        <v>668</v>
      </c>
      <c r="K70" s="20" t="str">
        <f t="shared" ca="1" si="3"/>
        <v>Overdue</v>
      </c>
    </row>
    <row r="71" spans="1:11" x14ac:dyDescent="0.3">
      <c r="A71" s="18" t="s">
        <v>78</v>
      </c>
      <c r="B71" s="18" t="s">
        <v>809</v>
      </c>
      <c r="C71" s="19">
        <v>44958</v>
      </c>
      <c r="D71" s="19">
        <v>44988</v>
      </c>
      <c r="E71" s="17">
        <v>4336.91</v>
      </c>
      <c r="F71" s="20" t="s">
        <v>817</v>
      </c>
      <c r="G71" s="20" t="s">
        <v>819</v>
      </c>
      <c r="H71" s="20" t="s">
        <v>823</v>
      </c>
      <c r="I71" s="20" t="s">
        <v>822</v>
      </c>
      <c r="J71" s="21">
        <f t="shared" ca="1" si="2"/>
        <v>1207</v>
      </c>
      <c r="K71" s="20" t="str">
        <f t="shared" ca="1" si="3"/>
        <v>Overdue</v>
      </c>
    </row>
    <row r="72" spans="1:11" x14ac:dyDescent="0.3">
      <c r="A72" s="18" t="s">
        <v>79</v>
      </c>
      <c r="B72" s="18" t="s">
        <v>813</v>
      </c>
      <c r="C72" s="19">
        <v>45629</v>
      </c>
      <c r="D72" s="19">
        <v>45659</v>
      </c>
      <c r="E72" s="17">
        <v>2479.9499999999998</v>
      </c>
      <c r="F72" s="20" t="s">
        <v>817</v>
      </c>
      <c r="G72" s="20" t="s">
        <v>821</v>
      </c>
      <c r="H72" s="22">
        <v>45659</v>
      </c>
      <c r="I72" s="20" t="s">
        <v>822</v>
      </c>
      <c r="J72" s="21">
        <f t="shared" ca="1" si="2"/>
        <v>536</v>
      </c>
      <c r="K72" s="20" t="str">
        <f t="shared" ca="1" si="3"/>
        <v>OK</v>
      </c>
    </row>
    <row r="73" spans="1:11" x14ac:dyDescent="0.3">
      <c r="A73" s="18" t="s">
        <v>80</v>
      </c>
      <c r="B73" s="18" t="s">
        <v>813</v>
      </c>
      <c r="C73" s="19">
        <v>45821</v>
      </c>
      <c r="D73" s="19">
        <v>45851</v>
      </c>
      <c r="E73" s="17">
        <v>2498.69</v>
      </c>
      <c r="F73" s="20" t="s">
        <v>817</v>
      </c>
      <c r="G73" s="20" t="s">
        <v>819</v>
      </c>
      <c r="H73" s="20" t="s">
        <v>823</v>
      </c>
      <c r="I73" s="20" t="s">
        <v>822</v>
      </c>
      <c r="J73" s="21">
        <f t="shared" ca="1" si="2"/>
        <v>344</v>
      </c>
      <c r="K73" s="20" t="str">
        <f t="shared" ca="1" si="3"/>
        <v>Overdue</v>
      </c>
    </row>
    <row r="74" spans="1:11" x14ac:dyDescent="0.3">
      <c r="A74" s="18" t="s">
        <v>81</v>
      </c>
      <c r="B74" s="18" t="s">
        <v>810</v>
      </c>
      <c r="C74" s="19">
        <v>45597</v>
      </c>
      <c r="D74" s="19">
        <v>45627</v>
      </c>
      <c r="E74" s="17">
        <v>2106.66</v>
      </c>
      <c r="F74" s="20" t="s">
        <v>815</v>
      </c>
      <c r="G74" s="20" t="s">
        <v>821</v>
      </c>
      <c r="H74" s="22">
        <v>45627</v>
      </c>
      <c r="I74" s="20" t="s">
        <v>822</v>
      </c>
      <c r="J74" s="21">
        <f t="shared" ca="1" si="2"/>
        <v>568</v>
      </c>
      <c r="K74" s="20" t="str">
        <f t="shared" ca="1" si="3"/>
        <v>OK</v>
      </c>
    </row>
    <row r="75" spans="1:11" x14ac:dyDescent="0.3">
      <c r="A75" s="18" t="s">
        <v>82</v>
      </c>
      <c r="B75" s="18" t="s">
        <v>809</v>
      </c>
      <c r="C75" s="19">
        <v>45092</v>
      </c>
      <c r="D75" s="19">
        <v>45122</v>
      </c>
      <c r="E75" s="17">
        <v>2082.92</v>
      </c>
      <c r="F75" s="20" t="s">
        <v>818</v>
      </c>
      <c r="G75" s="20" t="s">
        <v>820</v>
      </c>
      <c r="H75" s="20" t="s">
        <v>823</v>
      </c>
      <c r="I75" s="20" t="s">
        <v>822</v>
      </c>
      <c r="J75" s="21">
        <f t="shared" ca="1" si="2"/>
        <v>1073</v>
      </c>
      <c r="K75" s="20" t="str">
        <f t="shared" ca="1" si="3"/>
        <v>Overdue</v>
      </c>
    </row>
    <row r="76" spans="1:11" x14ac:dyDescent="0.3">
      <c r="A76" s="18" t="s">
        <v>83</v>
      </c>
      <c r="B76" s="18" t="s">
        <v>811</v>
      </c>
      <c r="C76" s="19">
        <v>45187</v>
      </c>
      <c r="D76" s="19">
        <v>45217</v>
      </c>
      <c r="E76" s="17">
        <v>3536.09</v>
      </c>
      <c r="F76" s="20" t="s">
        <v>817</v>
      </c>
      <c r="G76" s="20" t="s">
        <v>821</v>
      </c>
      <c r="H76" s="22">
        <v>45217</v>
      </c>
      <c r="I76" s="20" t="s">
        <v>822</v>
      </c>
      <c r="J76" s="21">
        <f t="shared" ca="1" si="2"/>
        <v>978</v>
      </c>
      <c r="K76" s="20" t="str">
        <f t="shared" ca="1" si="3"/>
        <v>OK</v>
      </c>
    </row>
    <row r="77" spans="1:11" x14ac:dyDescent="0.3">
      <c r="A77" s="18" t="s">
        <v>84</v>
      </c>
      <c r="B77" s="18" t="s">
        <v>809</v>
      </c>
      <c r="C77" s="19">
        <v>45661</v>
      </c>
      <c r="D77" s="19">
        <v>45691</v>
      </c>
      <c r="E77" s="17">
        <v>3984.82</v>
      </c>
      <c r="F77" s="20" t="s">
        <v>815</v>
      </c>
      <c r="G77" s="20" t="s">
        <v>819</v>
      </c>
      <c r="H77" s="20" t="s">
        <v>823</v>
      </c>
      <c r="I77" s="20" t="s">
        <v>822</v>
      </c>
      <c r="J77" s="21">
        <f t="shared" ca="1" si="2"/>
        <v>504</v>
      </c>
      <c r="K77" s="20" t="str">
        <f t="shared" ca="1" si="3"/>
        <v>Overdue</v>
      </c>
    </row>
    <row r="78" spans="1:11" x14ac:dyDescent="0.3">
      <c r="A78" s="18" t="s">
        <v>85</v>
      </c>
      <c r="B78" s="18" t="s">
        <v>813</v>
      </c>
      <c r="C78" s="19">
        <v>45068</v>
      </c>
      <c r="D78" s="19">
        <v>45098</v>
      </c>
      <c r="E78" s="17">
        <v>1175.94</v>
      </c>
      <c r="F78" s="20" t="s">
        <v>817</v>
      </c>
      <c r="G78" s="20" t="s">
        <v>820</v>
      </c>
      <c r="H78" s="20" t="s">
        <v>823</v>
      </c>
      <c r="I78" s="20" t="s">
        <v>822</v>
      </c>
      <c r="J78" s="21">
        <f t="shared" ca="1" si="2"/>
        <v>1097</v>
      </c>
      <c r="K78" s="20" t="str">
        <f t="shared" ca="1" si="3"/>
        <v>Overdue</v>
      </c>
    </row>
    <row r="79" spans="1:11" x14ac:dyDescent="0.3">
      <c r="A79" s="18" t="s">
        <v>86</v>
      </c>
      <c r="B79" s="18" t="s">
        <v>812</v>
      </c>
      <c r="C79" s="19">
        <v>45556</v>
      </c>
      <c r="D79" s="19">
        <v>45586</v>
      </c>
      <c r="E79" s="17">
        <v>1596.04</v>
      </c>
      <c r="F79" s="20" t="s">
        <v>818</v>
      </c>
      <c r="G79" s="20" t="s">
        <v>821</v>
      </c>
      <c r="H79" s="22">
        <v>45586</v>
      </c>
      <c r="I79" s="20" t="s">
        <v>822</v>
      </c>
      <c r="J79" s="21">
        <f t="shared" ca="1" si="2"/>
        <v>609</v>
      </c>
      <c r="K79" s="20" t="str">
        <f t="shared" ca="1" si="3"/>
        <v>OK</v>
      </c>
    </row>
    <row r="80" spans="1:11" x14ac:dyDescent="0.3">
      <c r="A80" s="18" t="s">
        <v>87</v>
      </c>
      <c r="B80" s="18" t="s">
        <v>812</v>
      </c>
      <c r="C80" s="19">
        <v>45401</v>
      </c>
      <c r="D80" s="19">
        <v>45431</v>
      </c>
      <c r="E80" s="17">
        <v>1687.52</v>
      </c>
      <c r="F80" s="20" t="s">
        <v>817</v>
      </c>
      <c r="G80" s="20" t="s">
        <v>821</v>
      </c>
      <c r="H80" s="22">
        <v>45431</v>
      </c>
      <c r="I80" s="20" t="s">
        <v>822</v>
      </c>
      <c r="J80" s="21">
        <f t="shared" ca="1" si="2"/>
        <v>764</v>
      </c>
      <c r="K80" s="20" t="str">
        <f t="shared" ca="1" si="3"/>
        <v>OK</v>
      </c>
    </row>
    <row r="81" spans="1:11" x14ac:dyDescent="0.3">
      <c r="A81" s="18" t="s">
        <v>88</v>
      </c>
      <c r="B81" s="18" t="s">
        <v>812</v>
      </c>
      <c r="C81" s="19">
        <v>45161</v>
      </c>
      <c r="D81" s="19">
        <v>45191</v>
      </c>
      <c r="E81" s="17">
        <v>1247.56</v>
      </c>
      <c r="F81" s="20" t="s">
        <v>817</v>
      </c>
      <c r="G81" s="20" t="s">
        <v>821</v>
      </c>
      <c r="H81" s="22">
        <v>45191</v>
      </c>
      <c r="I81" s="20" t="s">
        <v>822</v>
      </c>
      <c r="J81" s="21">
        <f t="shared" ca="1" si="2"/>
        <v>1004</v>
      </c>
      <c r="K81" s="20" t="str">
        <f t="shared" ca="1" si="3"/>
        <v>OK</v>
      </c>
    </row>
    <row r="82" spans="1:11" x14ac:dyDescent="0.3">
      <c r="A82" s="18" t="s">
        <v>89</v>
      </c>
      <c r="B82" s="18" t="s">
        <v>811</v>
      </c>
      <c r="C82" s="19">
        <v>45811</v>
      </c>
      <c r="D82" s="19">
        <v>45841</v>
      </c>
      <c r="E82" s="17">
        <v>3330.96</v>
      </c>
      <c r="F82" s="20" t="s">
        <v>818</v>
      </c>
      <c r="G82" s="20" t="s">
        <v>820</v>
      </c>
      <c r="H82" s="20" t="s">
        <v>823</v>
      </c>
      <c r="I82" s="20" t="s">
        <v>822</v>
      </c>
      <c r="J82" s="21">
        <f t="shared" ca="1" si="2"/>
        <v>354</v>
      </c>
      <c r="K82" s="20" t="str">
        <f t="shared" ca="1" si="3"/>
        <v>Overdue</v>
      </c>
    </row>
    <row r="83" spans="1:11" x14ac:dyDescent="0.3">
      <c r="A83" s="18" t="s">
        <v>90</v>
      </c>
      <c r="B83" s="18" t="s">
        <v>813</v>
      </c>
      <c r="C83" s="19">
        <v>45561</v>
      </c>
      <c r="D83" s="19">
        <v>45591</v>
      </c>
      <c r="E83" s="17">
        <v>1612.59</v>
      </c>
      <c r="F83" s="20" t="s">
        <v>814</v>
      </c>
      <c r="G83" s="20" t="s">
        <v>819</v>
      </c>
      <c r="H83" s="20" t="s">
        <v>823</v>
      </c>
      <c r="I83" s="20" t="s">
        <v>822</v>
      </c>
      <c r="J83" s="21">
        <f t="shared" ca="1" si="2"/>
        <v>604</v>
      </c>
      <c r="K83" s="20" t="str">
        <f t="shared" ca="1" si="3"/>
        <v>Overdue</v>
      </c>
    </row>
    <row r="84" spans="1:11" x14ac:dyDescent="0.3">
      <c r="A84" s="18" t="s">
        <v>91</v>
      </c>
      <c r="B84" s="18" t="s">
        <v>812</v>
      </c>
      <c r="C84" s="19">
        <v>45458</v>
      </c>
      <c r="D84" s="19">
        <v>45488</v>
      </c>
      <c r="E84" s="17">
        <v>1096.08</v>
      </c>
      <c r="F84" s="20" t="s">
        <v>815</v>
      </c>
      <c r="G84" s="20" t="s">
        <v>820</v>
      </c>
      <c r="H84" s="20" t="s">
        <v>823</v>
      </c>
      <c r="I84" s="20" t="s">
        <v>822</v>
      </c>
      <c r="J84" s="21">
        <f t="shared" ca="1" si="2"/>
        <v>707</v>
      </c>
      <c r="K84" s="20" t="str">
        <f t="shared" ca="1" si="3"/>
        <v>Overdue</v>
      </c>
    </row>
    <row r="85" spans="1:11" x14ac:dyDescent="0.3">
      <c r="A85" s="18" t="s">
        <v>92</v>
      </c>
      <c r="B85" s="18" t="s">
        <v>811</v>
      </c>
      <c r="C85" s="19">
        <v>45423</v>
      </c>
      <c r="D85" s="19">
        <v>45453</v>
      </c>
      <c r="E85" s="17">
        <v>1927.05</v>
      </c>
      <c r="F85" s="20" t="s">
        <v>817</v>
      </c>
      <c r="G85" s="20" t="s">
        <v>820</v>
      </c>
      <c r="H85" s="20" t="s">
        <v>823</v>
      </c>
      <c r="I85" s="20" t="s">
        <v>822</v>
      </c>
      <c r="J85" s="21">
        <f t="shared" ca="1" si="2"/>
        <v>742</v>
      </c>
      <c r="K85" s="20" t="str">
        <f t="shared" ca="1" si="3"/>
        <v>Overdue</v>
      </c>
    </row>
    <row r="86" spans="1:11" x14ac:dyDescent="0.3">
      <c r="A86" s="18" t="s">
        <v>93</v>
      </c>
      <c r="B86" s="18" t="s">
        <v>811</v>
      </c>
      <c r="C86" s="19">
        <v>45082</v>
      </c>
      <c r="D86" s="19">
        <v>45112</v>
      </c>
      <c r="E86" s="17">
        <v>1169.93</v>
      </c>
      <c r="F86" s="20" t="s">
        <v>817</v>
      </c>
      <c r="G86" s="20" t="s">
        <v>819</v>
      </c>
      <c r="H86" s="20" t="s">
        <v>823</v>
      </c>
      <c r="I86" s="20" t="s">
        <v>822</v>
      </c>
      <c r="J86" s="21">
        <f t="shared" ca="1" si="2"/>
        <v>1083</v>
      </c>
      <c r="K86" s="20" t="str">
        <f t="shared" ca="1" si="3"/>
        <v>Overdue</v>
      </c>
    </row>
    <row r="87" spans="1:11" x14ac:dyDescent="0.3">
      <c r="A87" s="18" t="s">
        <v>94</v>
      </c>
      <c r="B87" s="18" t="s">
        <v>813</v>
      </c>
      <c r="C87" s="19">
        <v>45820</v>
      </c>
      <c r="D87" s="19">
        <v>45850</v>
      </c>
      <c r="E87" s="17">
        <v>662.31</v>
      </c>
      <c r="F87" s="20" t="s">
        <v>816</v>
      </c>
      <c r="G87" s="20" t="s">
        <v>819</v>
      </c>
      <c r="H87" s="20" t="s">
        <v>823</v>
      </c>
      <c r="I87" s="20" t="s">
        <v>822</v>
      </c>
      <c r="J87" s="21">
        <f t="shared" ca="1" si="2"/>
        <v>345</v>
      </c>
      <c r="K87" s="20" t="str">
        <f t="shared" ca="1" si="3"/>
        <v>Overdue</v>
      </c>
    </row>
    <row r="88" spans="1:11" x14ac:dyDescent="0.3">
      <c r="A88" s="18" t="s">
        <v>95</v>
      </c>
      <c r="B88" s="18" t="s">
        <v>813</v>
      </c>
      <c r="C88" s="19">
        <v>45111</v>
      </c>
      <c r="D88" s="19">
        <v>45141</v>
      </c>
      <c r="E88" s="17">
        <v>3443.5</v>
      </c>
      <c r="F88" s="20" t="s">
        <v>815</v>
      </c>
      <c r="G88" s="20" t="s">
        <v>821</v>
      </c>
      <c r="H88" s="22">
        <v>45141</v>
      </c>
      <c r="I88" s="20" t="s">
        <v>822</v>
      </c>
      <c r="J88" s="21">
        <f t="shared" ca="1" si="2"/>
        <v>1054</v>
      </c>
      <c r="K88" s="20" t="str">
        <f t="shared" ca="1" si="3"/>
        <v>OK</v>
      </c>
    </row>
    <row r="89" spans="1:11" x14ac:dyDescent="0.3">
      <c r="A89" s="18" t="s">
        <v>96</v>
      </c>
      <c r="B89" s="18" t="s">
        <v>813</v>
      </c>
      <c r="C89" s="19">
        <v>45456</v>
      </c>
      <c r="D89" s="19">
        <v>45486</v>
      </c>
      <c r="E89" s="17">
        <v>3290.86</v>
      </c>
      <c r="F89" s="20" t="s">
        <v>815</v>
      </c>
      <c r="G89" s="20" t="s">
        <v>821</v>
      </c>
      <c r="H89" s="22">
        <v>45486</v>
      </c>
      <c r="I89" s="20" t="s">
        <v>822</v>
      </c>
      <c r="J89" s="21">
        <f t="shared" ca="1" si="2"/>
        <v>709</v>
      </c>
      <c r="K89" s="20" t="str">
        <f t="shared" ca="1" si="3"/>
        <v>OK</v>
      </c>
    </row>
    <row r="90" spans="1:11" x14ac:dyDescent="0.3">
      <c r="A90" s="18" t="s">
        <v>97</v>
      </c>
      <c r="B90" s="18" t="s">
        <v>813</v>
      </c>
      <c r="C90" s="19">
        <v>45737</v>
      </c>
      <c r="D90" s="19">
        <v>45767</v>
      </c>
      <c r="E90" s="17">
        <v>1872.61</v>
      </c>
      <c r="F90" s="20" t="s">
        <v>814</v>
      </c>
      <c r="G90" s="20" t="s">
        <v>819</v>
      </c>
      <c r="H90" s="20" t="s">
        <v>823</v>
      </c>
      <c r="I90" s="20" t="s">
        <v>822</v>
      </c>
      <c r="J90" s="21">
        <f t="shared" ca="1" si="2"/>
        <v>428</v>
      </c>
      <c r="K90" s="20" t="str">
        <f t="shared" ca="1" si="3"/>
        <v>Overdue</v>
      </c>
    </row>
    <row r="91" spans="1:11" x14ac:dyDescent="0.3">
      <c r="A91" s="18" t="s">
        <v>98</v>
      </c>
      <c r="B91" s="18" t="s">
        <v>813</v>
      </c>
      <c r="C91" s="19">
        <v>45520</v>
      </c>
      <c r="D91" s="19">
        <v>45550</v>
      </c>
      <c r="E91" s="17">
        <v>307.49</v>
      </c>
      <c r="F91" s="20" t="s">
        <v>816</v>
      </c>
      <c r="G91" s="20" t="s">
        <v>819</v>
      </c>
      <c r="H91" s="20" t="s">
        <v>823</v>
      </c>
      <c r="I91" s="20" t="s">
        <v>822</v>
      </c>
      <c r="J91" s="21">
        <f t="shared" ca="1" si="2"/>
        <v>645</v>
      </c>
      <c r="K91" s="20" t="str">
        <f t="shared" ca="1" si="3"/>
        <v>Overdue</v>
      </c>
    </row>
    <row r="92" spans="1:11" x14ac:dyDescent="0.3">
      <c r="A92" s="18" t="s">
        <v>99</v>
      </c>
      <c r="B92" s="18" t="s">
        <v>813</v>
      </c>
      <c r="C92" s="19">
        <v>45403</v>
      </c>
      <c r="D92" s="19">
        <v>45433</v>
      </c>
      <c r="E92" s="17">
        <v>211.08</v>
      </c>
      <c r="F92" s="20" t="s">
        <v>818</v>
      </c>
      <c r="G92" s="20" t="s">
        <v>820</v>
      </c>
      <c r="H92" s="20" t="s">
        <v>823</v>
      </c>
      <c r="I92" s="20" t="s">
        <v>822</v>
      </c>
      <c r="J92" s="21">
        <f t="shared" ca="1" si="2"/>
        <v>762</v>
      </c>
      <c r="K92" s="20" t="str">
        <f t="shared" ca="1" si="3"/>
        <v>Overdue</v>
      </c>
    </row>
    <row r="93" spans="1:11" x14ac:dyDescent="0.3">
      <c r="A93" s="18" t="s">
        <v>100</v>
      </c>
      <c r="B93" s="18" t="s">
        <v>813</v>
      </c>
      <c r="C93" s="19">
        <v>44966</v>
      </c>
      <c r="D93" s="19">
        <v>44996</v>
      </c>
      <c r="E93" s="17">
        <v>2052.0100000000002</v>
      </c>
      <c r="F93" s="20" t="s">
        <v>814</v>
      </c>
      <c r="G93" s="20" t="s">
        <v>819</v>
      </c>
      <c r="H93" s="20" t="s">
        <v>823</v>
      </c>
      <c r="I93" s="20" t="s">
        <v>822</v>
      </c>
      <c r="J93" s="21">
        <f t="shared" ca="1" si="2"/>
        <v>1199</v>
      </c>
      <c r="K93" s="20" t="str">
        <f t="shared" ca="1" si="3"/>
        <v>Overdue</v>
      </c>
    </row>
    <row r="94" spans="1:11" x14ac:dyDescent="0.3">
      <c r="A94" s="18" t="s">
        <v>101</v>
      </c>
      <c r="B94" s="18" t="s">
        <v>813</v>
      </c>
      <c r="C94" s="19">
        <v>45071</v>
      </c>
      <c r="D94" s="19">
        <v>45101</v>
      </c>
      <c r="E94" s="17">
        <v>4091.87</v>
      </c>
      <c r="F94" s="20" t="s">
        <v>818</v>
      </c>
      <c r="G94" s="20" t="s">
        <v>819</v>
      </c>
      <c r="H94" s="20" t="s">
        <v>823</v>
      </c>
      <c r="I94" s="20" t="s">
        <v>822</v>
      </c>
      <c r="J94" s="21">
        <f t="shared" ca="1" si="2"/>
        <v>1094</v>
      </c>
      <c r="K94" s="20" t="str">
        <f t="shared" ca="1" si="3"/>
        <v>Overdue</v>
      </c>
    </row>
    <row r="95" spans="1:11" x14ac:dyDescent="0.3">
      <c r="A95" s="18" t="s">
        <v>102</v>
      </c>
      <c r="B95" s="18" t="s">
        <v>812</v>
      </c>
      <c r="C95" s="19">
        <v>45227</v>
      </c>
      <c r="D95" s="19">
        <v>45257</v>
      </c>
      <c r="E95" s="17">
        <v>1321.04</v>
      </c>
      <c r="F95" s="20" t="s">
        <v>818</v>
      </c>
      <c r="G95" s="20" t="s">
        <v>819</v>
      </c>
      <c r="H95" s="20" t="s">
        <v>823</v>
      </c>
      <c r="I95" s="20" t="s">
        <v>822</v>
      </c>
      <c r="J95" s="21">
        <f t="shared" ca="1" si="2"/>
        <v>938</v>
      </c>
      <c r="K95" s="20" t="str">
        <f t="shared" ca="1" si="3"/>
        <v>Overdue</v>
      </c>
    </row>
    <row r="96" spans="1:11" x14ac:dyDescent="0.3">
      <c r="A96" s="18" t="s">
        <v>103</v>
      </c>
      <c r="B96" s="18" t="s">
        <v>809</v>
      </c>
      <c r="C96" s="19">
        <v>45088</v>
      </c>
      <c r="D96" s="19">
        <v>45118</v>
      </c>
      <c r="E96" s="17">
        <v>4205.21</v>
      </c>
      <c r="F96" s="20" t="s">
        <v>818</v>
      </c>
      <c r="G96" s="20" t="s">
        <v>821</v>
      </c>
      <c r="H96" s="22">
        <v>45118</v>
      </c>
      <c r="I96" s="20" t="s">
        <v>822</v>
      </c>
      <c r="J96" s="21">
        <f t="shared" ca="1" si="2"/>
        <v>1077</v>
      </c>
      <c r="K96" s="20" t="str">
        <f t="shared" ca="1" si="3"/>
        <v>OK</v>
      </c>
    </row>
    <row r="97" spans="1:11" x14ac:dyDescent="0.3">
      <c r="A97" s="18" t="s">
        <v>104</v>
      </c>
      <c r="B97" s="18" t="s">
        <v>810</v>
      </c>
      <c r="C97" s="19">
        <v>45426</v>
      </c>
      <c r="D97" s="19">
        <v>45456</v>
      </c>
      <c r="E97" s="17">
        <v>4804.12</v>
      </c>
      <c r="F97" s="20" t="s">
        <v>815</v>
      </c>
      <c r="G97" s="20" t="s">
        <v>819</v>
      </c>
      <c r="H97" s="20" t="s">
        <v>823</v>
      </c>
      <c r="I97" s="20" t="s">
        <v>822</v>
      </c>
      <c r="J97" s="21">
        <f t="shared" ca="1" si="2"/>
        <v>739</v>
      </c>
      <c r="K97" s="20" t="str">
        <f t="shared" ca="1" si="3"/>
        <v>Overdue</v>
      </c>
    </row>
    <row r="98" spans="1:11" x14ac:dyDescent="0.3">
      <c r="A98" s="18" t="s">
        <v>105</v>
      </c>
      <c r="B98" s="18" t="s">
        <v>810</v>
      </c>
      <c r="C98" s="19">
        <v>45442</v>
      </c>
      <c r="D98" s="19">
        <v>45472</v>
      </c>
      <c r="E98" s="17">
        <v>2179.34</v>
      </c>
      <c r="F98" s="20" t="s">
        <v>817</v>
      </c>
      <c r="G98" s="20" t="s">
        <v>821</v>
      </c>
      <c r="H98" s="22">
        <v>45472</v>
      </c>
      <c r="I98" s="20" t="s">
        <v>822</v>
      </c>
      <c r="J98" s="21">
        <f t="shared" ca="1" si="2"/>
        <v>723</v>
      </c>
      <c r="K98" s="20" t="str">
        <f t="shared" ca="1" si="3"/>
        <v>OK</v>
      </c>
    </row>
    <row r="99" spans="1:11" x14ac:dyDescent="0.3">
      <c r="A99" s="18" t="s">
        <v>106</v>
      </c>
      <c r="B99" s="18" t="s">
        <v>811</v>
      </c>
      <c r="C99" s="19">
        <v>45350</v>
      </c>
      <c r="D99" s="19">
        <v>45380</v>
      </c>
      <c r="E99" s="17">
        <v>2918.59</v>
      </c>
      <c r="F99" s="20" t="s">
        <v>815</v>
      </c>
      <c r="G99" s="20" t="s">
        <v>819</v>
      </c>
      <c r="H99" s="20" t="s">
        <v>823</v>
      </c>
      <c r="I99" s="20" t="s">
        <v>822</v>
      </c>
      <c r="J99" s="21">
        <f t="shared" ca="1" si="2"/>
        <v>815</v>
      </c>
      <c r="K99" s="20" t="str">
        <f t="shared" ca="1" si="3"/>
        <v>Overdue</v>
      </c>
    </row>
    <row r="100" spans="1:11" x14ac:dyDescent="0.3">
      <c r="A100" s="18" t="s">
        <v>107</v>
      </c>
      <c r="B100" s="18" t="s">
        <v>812</v>
      </c>
      <c r="C100" s="19">
        <v>45568</v>
      </c>
      <c r="D100" s="19">
        <v>45598</v>
      </c>
      <c r="E100" s="17">
        <v>4508.92</v>
      </c>
      <c r="F100" s="20" t="s">
        <v>815</v>
      </c>
      <c r="G100" s="20" t="s">
        <v>821</v>
      </c>
      <c r="H100" s="22">
        <v>45598</v>
      </c>
      <c r="I100" s="20" t="s">
        <v>822</v>
      </c>
      <c r="J100" s="21">
        <f t="shared" ca="1" si="2"/>
        <v>597</v>
      </c>
      <c r="K100" s="20" t="str">
        <f t="shared" ca="1" si="3"/>
        <v>OK</v>
      </c>
    </row>
    <row r="101" spans="1:11" x14ac:dyDescent="0.3">
      <c r="A101" s="18" t="s">
        <v>108</v>
      </c>
      <c r="B101" s="18" t="s">
        <v>809</v>
      </c>
      <c r="C101" s="19">
        <v>45134</v>
      </c>
      <c r="D101" s="19">
        <v>45164</v>
      </c>
      <c r="E101" s="17">
        <v>3543.69</v>
      </c>
      <c r="F101" s="20" t="s">
        <v>814</v>
      </c>
      <c r="G101" s="20" t="s">
        <v>820</v>
      </c>
      <c r="H101" s="20" t="s">
        <v>823</v>
      </c>
      <c r="I101" s="20" t="s">
        <v>822</v>
      </c>
      <c r="J101" s="21">
        <f t="shared" ca="1" si="2"/>
        <v>1031</v>
      </c>
      <c r="K101" s="20" t="str">
        <f t="shared" ca="1" si="3"/>
        <v>Overdue</v>
      </c>
    </row>
    <row r="102" spans="1:11" x14ac:dyDescent="0.3">
      <c r="A102" s="18" t="s">
        <v>109</v>
      </c>
      <c r="B102" s="18" t="s">
        <v>812</v>
      </c>
      <c r="C102" s="19">
        <v>45554</v>
      </c>
      <c r="D102" s="19">
        <v>45584</v>
      </c>
      <c r="E102" s="17">
        <v>3606.75</v>
      </c>
      <c r="F102" s="20" t="s">
        <v>818</v>
      </c>
      <c r="G102" s="20" t="s">
        <v>819</v>
      </c>
      <c r="H102" s="20" t="s">
        <v>823</v>
      </c>
      <c r="I102" s="20" t="s">
        <v>822</v>
      </c>
      <c r="J102" s="21">
        <f t="shared" ca="1" si="2"/>
        <v>611</v>
      </c>
      <c r="K102" s="20" t="str">
        <f t="shared" ca="1" si="3"/>
        <v>Overdue</v>
      </c>
    </row>
    <row r="103" spans="1:11" x14ac:dyDescent="0.3">
      <c r="A103" s="18" t="s">
        <v>110</v>
      </c>
      <c r="B103" s="18" t="s">
        <v>812</v>
      </c>
      <c r="C103" s="19">
        <v>45838</v>
      </c>
      <c r="D103" s="19">
        <v>45868</v>
      </c>
      <c r="E103" s="17">
        <v>3518.19</v>
      </c>
      <c r="F103" s="20" t="s">
        <v>817</v>
      </c>
      <c r="G103" s="20" t="s">
        <v>820</v>
      </c>
      <c r="H103" s="20" t="s">
        <v>823</v>
      </c>
      <c r="I103" s="20" t="s">
        <v>822</v>
      </c>
      <c r="J103" s="21">
        <f t="shared" ca="1" si="2"/>
        <v>327</v>
      </c>
      <c r="K103" s="20" t="str">
        <f t="shared" ca="1" si="3"/>
        <v>Overdue</v>
      </c>
    </row>
    <row r="104" spans="1:11" x14ac:dyDescent="0.3">
      <c r="A104" s="18" t="s">
        <v>111</v>
      </c>
      <c r="B104" s="18" t="s">
        <v>810</v>
      </c>
      <c r="C104" s="19">
        <v>45653</v>
      </c>
      <c r="D104" s="19">
        <v>45683</v>
      </c>
      <c r="E104" s="17">
        <v>4853.53</v>
      </c>
      <c r="F104" s="20" t="s">
        <v>815</v>
      </c>
      <c r="G104" s="20" t="s">
        <v>819</v>
      </c>
      <c r="H104" s="20" t="s">
        <v>823</v>
      </c>
      <c r="I104" s="20" t="s">
        <v>822</v>
      </c>
      <c r="J104" s="21">
        <f t="shared" ca="1" si="2"/>
        <v>512</v>
      </c>
      <c r="K104" s="20" t="str">
        <f t="shared" ca="1" si="3"/>
        <v>Overdue</v>
      </c>
    </row>
    <row r="105" spans="1:11" x14ac:dyDescent="0.3">
      <c r="A105" s="18" t="s">
        <v>112</v>
      </c>
      <c r="B105" s="18" t="s">
        <v>809</v>
      </c>
      <c r="C105" s="19">
        <v>45533</v>
      </c>
      <c r="D105" s="19">
        <v>45563</v>
      </c>
      <c r="E105" s="17">
        <v>4099.79</v>
      </c>
      <c r="F105" s="20" t="s">
        <v>814</v>
      </c>
      <c r="G105" s="20" t="s">
        <v>820</v>
      </c>
      <c r="H105" s="20" t="s">
        <v>823</v>
      </c>
      <c r="I105" s="20" t="s">
        <v>822</v>
      </c>
      <c r="J105" s="21">
        <f t="shared" ca="1" si="2"/>
        <v>632</v>
      </c>
      <c r="K105" s="20" t="str">
        <f t="shared" ca="1" si="3"/>
        <v>Overdue</v>
      </c>
    </row>
    <row r="106" spans="1:11" x14ac:dyDescent="0.3">
      <c r="A106" s="18" t="s">
        <v>113</v>
      </c>
      <c r="B106" s="18" t="s">
        <v>809</v>
      </c>
      <c r="C106" s="19">
        <v>44958</v>
      </c>
      <c r="D106" s="19">
        <v>44988</v>
      </c>
      <c r="E106" s="17">
        <v>3167.66</v>
      </c>
      <c r="F106" s="20" t="s">
        <v>815</v>
      </c>
      <c r="G106" s="20" t="s">
        <v>821</v>
      </c>
      <c r="H106" s="22">
        <v>44988</v>
      </c>
      <c r="I106" s="20" t="s">
        <v>822</v>
      </c>
      <c r="J106" s="21">
        <f t="shared" ca="1" si="2"/>
        <v>1207</v>
      </c>
      <c r="K106" s="20" t="str">
        <f t="shared" ca="1" si="3"/>
        <v>OK</v>
      </c>
    </row>
    <row r="107" spans="1:11" x14ac:dyDescent="0.3">
      <c r="A107" s="18" t="s">
        <v>114</v>
      </c>
      <c r="B107" s="18" t="s">
        <v>812</v>
      </c>
      <c r="C107" s="19">
        <v>45024</v>
      </c>
      <c r="D107" s="19">
        <v>45054</v>
      </c>
      <c r="E107" s="17">
        <v>4646.9799999999996</v>
      </c>
      <c r="F107" s="20" t="s">
        <v>814</v>
      </c>
      <c r="G107" s="20" t="s">
        <v>820</v>
      </c>
      <c r="H107" s="20" t="s">
        <v>823</v>
      </c>
      <c r="I107" s="20" t="s">
        <v>822</v>
      </c>
      <c r="J107" s="21">
        <f t="shared" ca="1" si="2"/>
        <v>1141</v>
      </c>
      <c r="K107" s="20" t="str">
        <f t="shared" ca="1" si="3"/>
        <v>Overdue</v>
      </c>
    </row>
    <row r="108" spans="1:11" x14ac:dyDescent="0.3">
      <c r="A108" s="18" t="s">
        <v>115</v>
      </c>
      <c r="B108" s="18" t="s">
        <v>813</v>
      </c>
      <c r="C108" s="19">
        <v>45552</v>
      </c>
      <c r="D108" s="19">
        <v>45582</v>
      </c>
      <c r="E108" s="17">
        <v>4202.6099999999997</v>
      </c>
      <c r="F108" s="20" t="s">
        <v>816</v>
      </c>
      <c r="G108" s="20" t="s">
        <v>819</v>
      </c>
      <c r="H108" s="20" t="s">
        <v>823</v>
      </c>
      <c r="I108" s="20" t="s">
        <v>822</v>
      </c>
      <c r="J108" s="21">
        <f t="shared" ca="1" si="2"/>
        <v>613</v>
      </c>
      <c r="K108" s="20" t="str">
        <f t="shared" ca="1" si="3"/>
        <v>Overdue</v>
      </c>
    </row>
    <row r="109" spans="1:11" x14ac:dyDescent="0.3">
      <c r="A109" s="18" t="s">
        <v>116</v>
      </c>
      <c r="B109" s="18" t="s">
        <v>813</v>
      </c>
      <c r="C109" s="19">
        <v>45250</v>
      </c>
      <c r="D109" s="19">
        <v>45280</v>
      </c>
      <c r="E109" s="17">
        <v>1491.57</v>
      </c>
      <c r="F109" s="20" t="s">
        <v>814</v>
      </c>
      <c r="G109" s="20" t="s">
        <v>821</v>
      </c>
      <c r="H109" s="22">
        <v>45280</v>
      </c>
      <c r="I109" s="20" t="s">
        <v>822</v>
      </c>
      <c r="J109" s="21">
        <f t="shared" ca="1" si="2"/>
        <v>915</v>
      </c>
      <c r="K109" s="20" t="str">
        <f t="shared" ca="1" si="3"/>
        <v>OK</v>
      </c>
    </row>
    <row r="110" spans="1:11" x14ac:dyDescent="0.3">
      <c r="A110" s="18" t="s">
        <v>117</v>
      </c>
      <c r="B110" s="18" t="s">
        <v>809</v>
      </c>
      <c r="C110" s="19">
        <v>45339</v>
      </c>
      <c r="D110" s="19">
        <v>45369</v>
      </c>
      <c r="E110" s="17">
        <v>2302.71</v>
      </c>
      <c r="F110" s="20" t="s">
        <v>817</v>
      </c>
      <c r="G110" s="20" t="s">
        <v>821</v>
      </c>
      <c r="H110" s="22">
        <v>45369</v>
      </c>
      <c r="I110" s="20" t="s">
        <v>822</v>
      </c>
      <c r="J110" s="21">
        <f t="shared" ca="1" si="2"/>
        <v>826</v>
      </c>
      <c r="K110" s="20" t="str">
        <f t="shared" ca="1" si="3"/>
        <v>OK</v>
      </c>
    </row>
    <row r="111" spans="1:11" x14ac:dyDescent="0.3">
      <c r="A111" s="18" t="s">
        <v>118</v>
      </c>
      <c r="B111" s="18" t="s">
        <v>812</v>
      </c>
      <c r="C111" s="19">
        <v>45787</v>
      </c>
      <c r="D111" s="19">
        <v>45817</v>
      </c>
      <c r="E111" s="17">
        <v>222.31</v>
      </c>
      <c r="F111" s="20" t="s">
        <v>814</v>
      </c>
      <c r="G111" s="20" t="s">
        <v>820</v>
      </c>
      <c r="H111" s="20" t="s">
        <v>823</v>
      </c>
      <c r="I111" s="20" t="s">
        <v>822</v>
      </c>
      <c r="J111" s="21">
        <f t="shared" ca="1" si="2"/>
        <v>378</v>
      </c>
      <c r="K111" s="20" t="str">
        <f t="shared" ca="1" si="3"/>
        <v>Overdue</v>
      </c>
    </row>
    <row r="112" spans="1:11" x14ac:dyDescent="0.3">
      <c r="A112" s="18" t="s">
        <v>119</v>
      </c>
      <c r="B112" s="18" t="s">
        <v>812</v>
      </c>
      <c r="C112" s="19">
        <v>45621</v>
      </c>
      <c r="D112" s="19">
        <v>45651</v>
      </c>
      <c r="E112" s="17">
        <v>1191.67</v>
      </c>
      <c r="F112" s="20" t="s">
        <v>816</v>
      </c>
      <c r="G112" s="20" t="s">
        <v>819</v>
      </c>
      <c r="H112" s="20" t="s">
        <v>823</v>
      </c>
      <c r="I112" s="20" t="s">
        <v>822</v>
      </c>
      <c r="J112" s="21">
        <f t="shared" ca="1" si="2"/>
        <v>544</v>
      </c>
      <c r="K112" s="20" t="str">
        <f t="shared" ca="1" si="3"/>
        <v>Overdue</v>
      </c>
    </row>
    <row r="113" spans="1:11" x14ac:dyDescent="0.3">
      <c r="A113" s="18" t="s">
        <v>120</v>
      </c>
      <c r="B113" s="18" t="s">
        <v>812</v>
      </c>
      <c r="C113" s="19">
        <v>45273</v>
      </c>
      <c r="D113" s="19">
        <v>45303</v>
      </c>
      <c r="E113" s="17">
        <v>3805.91</v>
      </c>
      <c r="F113" s="20" t="s">
        <v>815</v>
      </c>
      <c r="G113" s="20" t="s">
        <v>821</v>
      </c>
      <c r="H113" s="22">
        <v>45303</v>
      </c>
      <c r="I113" s="20" t="s">
        <v>822</v>
      </c>
      <c r="J113" s="21">
        <f t="shared" ca="1" si="2"/>
        <v>892</v>
      </c>
      <c r="K113" s="20" t="str">
        <f t="shared" ca="1" si="3"/>
        <v>OK</v>
      </c>
    </row>
    <row r="114" spans="1:11" x14ac:dyDescent="0.3">
      <c r="A114" s="18" t="s">
        <v>121</v>
      </c>
      <c r="B114" s="18" t="s">
        <v>813</v>
      </c>
      <c r="C114" s="19">
        <v>45028</v>
      </c>
      <c r="D114" s="19">
        <v>45058</v>
      </c>
      <c r="E114" s="17">
        <v>945.2</v>
      </c>
      <c r="F114" s="20" t="s">
        <v>817</v>
      </c>
      <c r="G114" s="20" t="s">
        <v>820</v>
      </c>
      <c r="H114" s="20" t="s">
        <v>823</v>
      </c>
      <c r="I114" s="20" t="s">
        <v>822</v>
      </c>
      <c r="J114" s="21">
        <f t="shared" ca="1" si="2"/>
        <v>1137</v>
      </c>
      <c r="K114" s="20" t="str">
        <f t="shared" ca="1" si="3"/>
        <v>Overdue</v>
      </c>
    </row>
    <row r="115" spans="1:11" x14ac:dyDescent="0.3">
      <c r="A115" s="18" t="s">
        <v>122</v>
      </c>
      <c r="B115" s="18" t="s">
        <v>812</v>
      </c>
      <c r="C115" s="19">
        <v>45311</v>
      </c>
      <c r="D115" s="19">
        <v>45341</v>
      </c>
      <c r="E115" s="17">
        <v>2517.4699999999998</v>
      </c>
      <c r="F115" s="20" t="s">
        <v>815</v>
      </c>
      <c r="G115" s="20" t="s">
        <v>820</v>
      </c>
      <c r="H115" s="20" t="s">
        <v>823</v>
      </c>
      <c r="I115" s="20" t="s">
        <v>822</v>
      </c>
      <c r="J115" s="21">
        <f t="shared" ca="1" si="2"/>
        <v>854</v>
      </c>
      <c r="K115" s="20" t="str">
        <f t="shared" ca="1" si="3"/>
        <v>Overdue</v>
      </c>
    </row>
    <row r="116" spans="1:11" x14ac:dyDescent="0.3">
      <c r="A116" s="18" t="s">
        <v>123</v>
      </c>
      <c r="B116" s="18" t="s">
        <v>813</v>
      </c>
      <c r="C116" s="19">
        <v>45625</v>
      </c>
      <c r="D116" s="19">
        <v>45655</v>
      </c>
      <c r="E116" s="17">
        <v>4131.71</v>
      </c>
      <c r="F116" s="20" t="s">
        <v>817</v>
      </c>
      <c r="G116" s="20" t="s">
        <v>820</v>
      </c>
      <c r="H116" s="20" t="s">
        <v>823</v>
      </c>
      <c r="I116" s="20" t="s">
        <v>822</v>
      </c>
      <c r="J116" s="21">
        <f t="shared" ca="1" si="2"/>
        <v>540</v>
      </c>
      <c r="K116" s="20" t="str">
        <f t="shared" ca="1" si="3"/>
        <v>Overdue</v>
      </c>
    </row>
    <row r="117" spans="1:11" x14ac:dyDescent="0.3">
      <c r="A117" s="18" t="s">
        <v>124</v>
      </c>
      <c r="B117" s="18" t="s">
        <v>813</v>
      </c>
      <c r="C117" s="19">
        <v>45370</v>
      </c>
      <c r="D117" s="19">
        <v>45400</v>
      </c>
      <c r="E117" s="17">
        <v>1116.42</v>
      </c>
      <c r="F117" s="20" t="s">
        <v>815</v>
      </c>
      <c r="G117" s="20" t="s">
        <v>819</v>
      </c>
      <c r="H117" s="20" t="s">
        <v>823</v>
      </c>
      <c r="I117" s="20" t="s">
        <v>822</v>
      </c>
      <c r="J117" s="21">
        <f t="shared" ca="1" si="2"/>
        <v>795</v>
      </c>
      <c r="K117" s="20" t="str">
        <f t="shared" ca="1" si="3"/>
        <v>Overdue</v>
      </c>
    </row>
    <row r="118" spans="1:11" x14ac:dyDescent="0.3">
      <c r="A118" s="18" t="s">
        <v>125</v>
      </c>
      <c r="B118" s="18" t="s">
        <v>813</v>
      </c>
      <c r="C118" s="19">
        <v>45193</v>
      </c>
      <c r="D118" s="19">
        <v>45223</v>
      </c>
      <c r="E118" s="17">
        <v>4575.2700000000004</v>
      </c>
      <c r="F118" s="20" t="s">
        <v>815</v>
      </c>
      <c r="G118" s="20" t="s">
        <v>819</v>
      </c>
      <c r="H118" s="20" t="s">
        <v>823</v>
      </c>
      <c r="I118" s="20" t="s">
        <v>822</v>
      </c>
      <c r="J118" s="21">
        <f t="shared" ca="1" si="2"/>
        <v>972</v>
      </c>
      <c r="K118" s="20" t="str">
        <f t="shared" ca="1" si="3"/>
        <v>Overdue</v>
      </c>
    </row>
    <row r="119" spans="1:11" x14ac:dyDescent="0.3">
      <c r="A119" s="18" t="s">
        <v>126</v>
      </c>
      <c r="B119" s="18" t="s">
        <v>813</v>
      </c>
      <c r="C119" s="19">
        <v>44973</v>
      </c>
      <c r="D119" s="19">
        <v>45003</v>
      </c>
      <c r="E119" s="17">
        <v>1514.17</v>
      </c>
      <c r="F119" s="20" t="s">
        <v>815</v>
      </c>
      <c r="G119" s="20" t="s">
        <v>819</v>
      </c>
      <c r="H119" s="20" t="s">
        <v>823</v>
      </c>
      <c r="I119" s="20" t="s">
        <v>822</v>
      </c>
      <c r="J119" s="21">
        <f t="shared" ca="1" si="2"/>
        <v>1192</v>
      </c>
      <c r="K119" s="20" t="str">
        <f t="shared" ca="1" si="3"/>
        <v>Overdue</v>
      </c>
    </row>
    <row r="120" spans="1:11" x14ac:dyDescent="0.3">
      <c r="A120" s="18" t="s">
        <v>127</v>
      </c>
      <c r="B120" s="18" t="s">
        <v>809</v>
      </c>
      <c r="C120" s="19">
        <v>45152</v>
      </c>
      <c r="D120" s="19">
        <v>45182</v>
      </c>
      <c r="E120" s="17">
        <v>4267.03</v>
      </c>
      <c r="F120" s="20" t="s">
        <v>815</v>
      </c>
      <c r="G120" s="20" t="s">
        <v>819</v>
      </c>
      <c r="H120" s="20" t="s">
        <v>823</v>
      </c>
      <c r="I120" s="20" t="s">
        <v>822</v>
      </c>
      <c r="J120" s="21">
        <f t="shared" ca="1" si="2"/>
        <v>1013</v>
      </c>
      <c r="K120" s="20" t="str">
        <f t="shared" ca="1" si="3"/>
        <v>Overdue</v>
      </c>
    </row>
    <row r="121" spans="1:11" x14ac:dyDescent="0.3">
      <c r="A121" s="18" t="s">
        <v>128</v>
      </c>
      <c r="B121" s="18" t="s">
        <v>810</v>
      </c>
      <c r="C121" s="19">
        <v>45685</v>
      </c>
      <c r="D121" s="19">
        <v>45715</v>
      </c>
      <c r="E121" s="17">
        <v>4482.04</v>
      </c>
      <c r="F121" s="20" t="s">
        <v>816</v>
      </c>
      <c r="G121" s="20" t="s">
        <v>820</v>
      </c>
      <c r="H121" s="20" t="s">
        <v>823</v>
      </c>
      <c r="I121" s="20" t="s">
        <v>822</v>
      </c>
      <c r="J121" s="21">
        <f t="shared" ca="1" si="2"/>
        <v>480</v>
      </c>
      <c r="K121" s="20" t="str">
        <f t="shared" ca="1" si="3"/>
        <v>Overdue</v>
      </c>
    </row>
    <row r="122" spans="1:11" x14ac:dyDescent="0.3">
      <c r="A122" s="18" t="s">
        <v>129</v>
      </c>
      <c r="B122" s="18" t="s">
        <v>813</v>
      </c>
      <c r="C122" s="19">
        <v>45412</v>
      </c>
      <c r="D122" s="19">
        <v>45442</v>
      </c>
      <c r="E122" s="17">
        <v>1407.76</v>
      </c>
      <c r="F122" s="20" t="s">
        <v>816</v>
      </c>
      <c r="G122" s="20" t="s">
        <v>821</v>
      </c>
      <c r="H122" s="22">
        <v>45442</v>
      </c>
      <c r="I122" s="20" t="s">
        <v>822</v>
      </c>
      <c r="J122" s="21">
        <f t="shared" ca="1" si="2"/>
        <v>753</v>
      </c>
      <c r="K122" s="20" t="str">
        <f t="shared" ca="1" si="3"/>
        <v>OK</v>
      </c>
    </row>
    <row r="123" spans="1:11" x14ac:dyDescent="0.3">
      <c r="A123" s="18" t="s">
        <v>130</v>
      </c>
      <c r="B123" s="18" t="s">
        <v>811</v>
      </c>
      <c r="C123" s="19">
        <v>45253</v>
      </c>
      <c r="D123" s="19">
        <v>45283</v>
      </c>
      <c r="E123" s="17">
        <v>2739.91</v>
      </c>
      <c r="F123" s="20" t="s">
        <v>814</v>
      </c>
      <c r="G123" s="20" t="s">
        <v>819</v>
      </c>
      <c r="H123" s="20" t="s">
        <v>823</v>
      </c>
      <c r="I123" s="20" t="s">
        <v>822</v>
      </c>
      <c r="J123" s="21">
        <f t="shared" ca="1" si="2"/>
        <v>912</v>
      </c>
      <c r="K123" s="20" t="str">
        <f t="shared" ca="1" si="3"/>
        <v>Overdue</v>
      </c>
    </row>
    <row r="124" spans="1:11" x14ac:dyDescent="0.3">
      <c r="A124" s="18" t="s">
        <v>131</v>
      </c>
      <c r="B124" s="18" t="s">
        <v>809</v>
      </c>
      <c r="C124" s="19">
        <v>45729</v>
      </c>
      <c r="D124" s="19">
        <v>45759</v>
      </c>
      <c r="E124" s="17">
        <v>2094.14</v>
      </c>
      <c r="F124" s="20" t="s">
        <v>816</v>
      </c>
      <c r="G124" s="20" t="s">
        <v>820</v>
      </c>
      <c r="H124" s="20" t="s">
        <v>823</v>
      </c>
      <c r="I124" s="20" t="s">
        <v>822</v>
      </c>
      <c r="J124" s="21">
        <f t="shared" ca="1" si="2"/>
        <v>436</v>
      </c>
      <c r="K124" s="20" t="str">
        <f t="shared" ca="1" si="3"/>
        <v>Overdue</v>
      </c>
    </row>
    <row r="125" spans="1:11" x14ac:dyDescent="0.3">
      <c r="A125" s="18" t="s">
        <v>132</v>
      </c>
      <c r="B125" s="18" t="s">
        <v>813</v>
      </c>
      <c r="C125" s="19">
        <v>45647</v>
      </c>
      <c r="D125" s="19">
        <v>45677</v>
      </c>
      <c r="E125" s="17">
        <v>1636.17</v>
      </c>
      <c r="F125" s="20" t="s">
        <v>816</v>
      </c>
      <c r="G125" s="20" t="s">
        <v>819</v>
      </c>
      <c r="H125" s="20" t="s">
        <v>823</v>
      </c>
      <c r="I125" s="20" t="s">
        <v>822</v>
      </c>
      <c r="J125" s="21">
        <f t="shared" ca="1" si="2"/>
        <v>518</v>
      </c>
      <c r="K125" s="20" t="str">
        <f t="shared" ca="1" si="3"/>
        <v>Overdue</v>
      </c>
    </row>
    <row r="126" spans="1:11" x14ac:dyDescent="0.3">
      <c r="A126" s="18" t="s">
        <v>133</v>
      </c>
      <c r="B126" s="18" t="s">
        <v>810</v>
      </c>
      <c r="C126" s="19">
        <v>45204</v>
      </c>
      <c r="D126" s="19">
        <v>45234</v>
      </c>
      <c r="E126" s="17">
        <v>1052.47</v>
      </c>
      <c r="F126" s="20" t="s">
        <v>818</v>
      </c>
      <c r="G126" s="20" t="s">
        <v>820</v>
      </c>
      <c r="H126" s="20" t="s">
        <v>823</v>
      </c>
      <c r="I126" s="20" t="s">
        <v>822</v>
      </c>
      <c r="J126" s="21">
        <f t="shared" ca="1" si="2"/>
        <v>961</v>
      </c>
      <c r="K126" s="20" t="str">
        <f t="shared" ca="1" si="3"/>
        <v>Overdue</v>
      </c>
    </row>
    <row r="127" spans="1:11" x14ac:dyDescent="0.3">
      <c r="A127" s="18" t="s">
        <v>134</v>
      </c>
      <c r="B127" s="18" t="s">
        <v>810</v>
      </c>
      <c r="C127" s="19">
        <v>45186</v>
      </c>
      <c r="D127" s="19">
        <v>45216</v>
      </c>
      <c r="E127" s="17">
        <v>4195.09</v>
      </c>
      <c r="F127" s="20" t="s">
        <v>818</v>
      </c>
      <c r="G127" s="20" t="s">
        <v>819</v>
      </c>
      <c r="H127" s="20" t="s">
        <v>823</v>
      </c>
      <c r="I127" s="20" t="s">
        <v>822</v>
      </c>
      <c r="J127" s="21">
        <f t="shared" ca="1" si="2"/>
        <v>979</v>
      </c>
      <c r="K127" s="20" t="str">
        <f t="shared" ca="1" si="3"/>
        <v>Overdue</v>
      </c>
    </row>
    <row r="128" spans="1:11" x14ac:dyDescent="0.3">
      <c r="A128" s="18" t="s">
        <v>135</v>
      </c>
      <c r="B128" s="18" t="s">
        <v>811</v>
      </c>
      <c r="C128" s="19">
        <v>44940</v>
      </c>
      <c r="D128" s="19">
        <v>44970</v>
      </c>
      <c r="E128" s="17">
        <v>2545.81</v>
      </c>
      <c r="F128" s="20" t="s">
        <v>817</v>
      </c>
      <c r="G128" s="20" t="s">
        <v>820</v>
      </c>
      <c r="H128" s="20" t="s">
        <v>823</v>
      </c>
      <c r="I128" s="20" t="s">
        <v>822</v>
      </c>
      <c r="J128" s="21">
        <f t="shared" ca="1" si="2"/>
        <v>1225</v>
      </c>
      <c r="K128" s="20" t="str">
        <f t="shared" ca="1" si="3"/>
        <v>Overdue</v>
      </c>
    </row>
    <row r="129" spans="1:11" x14ac:dyDescent="0.3">
      <c r="A129" s="18" t="s">
        <v>136</v>
      </c>
      <c r="B129" s="18" t="s">
        <v>812</v>
      </c>
      <c r="C129" s="19">
        <v>45396</v>
      </c>
      <c r="D129" s="19">
        <v>45426</v>
      </c>
      <c r="E129" s="17">
        <v>993.34</v>
      </c>
      <c r="F129" s="20" t="s">
        <v>818</v>
      </c>
      <c r="G129" s="20" t="s">
        <v>820</v>
      </c>
      <c r="H129" s="20" t="s">
        <v>823</v>
      </c>
      <c r="I129" s="20" t="s">
        <v>822</v>
      </c>
      <c r="J129" s="21">
        <f t="shared" ca="1" si="2"/>
        <v>769</v>
      </c>
      <c r="K129" s="20" t="str">
        <f t="shared" ca="1" si="3"/>
        <v>Overdue</v>
      </c>
    </row>
    <row r="130" spans="1:11" x14ac:dyDescent="0.3">
      <c r="A130" s="18" t="s">
        <v>137</v>
      </c>
      <c r="B130" s="18" t="s">
        <v>812</v>
      </c>
      <c r="C130" s="19">
        <v>45091</v>
      </c>
      <c r="D130" s="19">
        <v>45121</v>
      </c>
      <c r="E130" s="17">
        <v>834.51</v>
      </c>
      <c r="F130" s="20" t="s">
        <v>816</v>
      </c>
      <c r="G130" s="20" t="s">
        <v>820</v>
      </c>
      <c r="H130" s="20" t="s">
        <v>823</v>
      </c>
      <c r="I130" s="20" t="s">
        <v>822</v>
      </c>
      <c r="J130" s="21">
        <f t="shared" ref="J130:J193" ca="1" si="4">TODAY()-D130</f>
        <v>1074</v>
      </c>
      <c r="K130" s="20" t="str">
        <f t="shared" ref="K130:K193" ca="1" si="5">IF(AND(TODAY()&gt;D130,G130&lt;&gt;"Paid"),"Overdue","OK")</f>
        <v>Overdue</v>
      </c>
    </row>
    <row r="131" spans="1:11" x14ac:dyDescent="0.3">
      <c r="A131" s="18" t="s">
        <v>138</v>
      </c>
      <c r="B131" s="18" t="s">
        <v>812</v>
      </c>
      <c r="C131" s="19">
        <v>45286</v>
      </c>
      <c r="D131" s="19">
        <v>45316</v>
      </c>
      <c r="E131" s="17">
        <v>2107.58</v>
      </c>
      <c r="F131" s="20" t="s">
        <v>817</v>
      </c>
      <c r="G131" s="20" t="s">
        <v>820</v>
      </c>
      <c r="H131" s="20" t="s">
        <v>823</v>
      </c>
      <c r="I131" s="20" t="s">
        <v>822</v>
      </c>
      <c r="J131" s="21">
        <f t="shared" ca="1" si="4"/>
        <v>879</v>
      </c>
      <c r="K131" s="20" t="str">
        <f t="shared" ca="1" si="5"/>
        <v>Overdue</v>
      </c>
    </row>
    <row r="132" spans="1:11" x14ac:dyDescent="0.3">
      <c r="A132" s="18" t="s">
        <v>139</v>
      </c>
      <c r="B132" s="18" t="s">
        <v>813</v>
      </c>
      <c r="C132" s="19">
        <v>45782</v>
      </c>
      <c r="D132" s="19">
        <v>45812</v>
      </c>
      <c r="E132" s="17">
        <v>1874.69</v>
      </c>
      <c r="F132" s="20" t="s">
        <v>817</v>
      </c>
      <c r="G132" s="20" t="s">
        <v>819</v>
      </c>
      <c r="H132" s="20" t="s">
        <v>823</v>
      </c>
      <c r="I132" s="20" t="s">
        <v>822</v>
      </c>
      <c r="J132" s="21">
        <f t="shared" ca="1" si="4"/>
        <v>383</v>
      </c>
      <c r="K132" s="20" t="str">
        <f t="shared" ca="1" si="5"/>
        <v>Overdue</v>
      </c>
    </row>
    <row r="133" spans="1:11" x14ac:dyDescent="0.3">
      <c r="A133" s="18" t="s">
        <v>140</v>
      </c>
      <c r="B133" s="18" t="s">
        <v>812</v>
      </c>
      <c r="C133" s="19">
        <v>45471</v>
      </c>
      <c r="D133" s="19">
        <v>45501</v>
      </c>
      <c r="E133" s="17">
        <v>4388.51</v>
      </c>
      <c r="F133" s="20" t="s">
        <v>814</v>
      </c>
      <c r="G133" s="20" t="s">
        <v>821</v>
      </c>
      <c r="H133" s="22">
        <v>45501</v>
      </c>
      <c r="I133" s="20" t="s">
        <v>822</v>
      </c>
      <c r="J133" s="21">
        <f t="shared" ca="1" si="4"/>
        <v>694</v>
      </c>
      <c r="K133" s="20" t="str">
        <f t="shared" ca="1" si="5"/>
        <v>OK</v>
      </c>
    </row>
    <row r="134" spans="1:11" x14ac:dyDescent="0.3">
      <c r="A134" s="18" t="s">
        <v>141</v>
      </c>
      <c r="B134" s="18" t="s">
        <v>810</v>
      </c>
      <c r="C134" s="19">
        <v>45365</v>
      </c>
      <c r="D134" s="19">
        <v>45395</v>
      </c>
      <c r="E134" s="17">
        <v>125.24</v>
      </c>
      <c r="F134" s="20" t="s">
        <v>815</v>
      </c>
      <c r="G134" s="20" t="s">
        <v>820</v>
      </c>
      <c r="H134" s="20" t="s">
        <v>823</v>
      </c>
      <c r="I134" s="20" t="s">
        <v>822</v>
      </c>
      <c r="J134" s="21">
        <f t="shared" ca="1" si="4"/>
        <v>800</v>
      </c>
      <c r="K134" s="20" t="str">
        <f t="shared" ca="1" si="5"/>
        <v>Overdue</v>
      </c>
    </row>
    <row r="135" spans="1:11" x14ac:dyDescent="0.3">
      <c r="A135" s="18" t="s">
        <v>142</v>
      </c>
      <c r="B135" s="18" t="s">
        <v>811</v>
      </c>
      <c r="C135" s="19">
        <v>45392</v>
      </c>
      <c r="D135" s="19">
        <v>45422</v>
      </c>
      <c r="E135" s="17">
        <v>1249.8900000000001</v>
      </c>
      <c r="F135" s="20" t="s">
        <v>818</v>
      </c>
      <c r="G135" s="20" t="s">
        <v>819</v>
      </c>
      <c r="H135" s="20" t="s">
        <v>823</v>
      </c>
      <c r="I135" s="20" t="s">
        <v>822</v>
      </c>
      <c r="J135" s="21">
        <f t="shared" ca="1" si="4"/>
        <v>773</v>
      </c>
      <c r="K135" s="20" t="str">
        <f t="shared" ca="1" si="5"/>
        <v>Overdue</v>
      </c>
    </row>
    <row r="136" spans="1:11" x14ac:dyDescent="0.3">
      <c r="A136" s="18" t="s">
        <v>143</v>
      </c>
      <c r="B136" s="18" t="s">
        <v>811</v>
      </c>
      <c r="C136" s="19">
        <v>45631</v>
      </c>
      <c r="D136" s="19">
        <v>45661</v>
      </c>
      <c r="E136" s="17">
        <v>4937.78</v>
      </c>
      <c r="F136" s="20" t="s">
        <v>814</v>
      </c>
      <c r="G136" s="20" t="s">
        <v>819</v>
      </c>
      <c r="H136" s="20" t="s">
        <v>823</v>
      </c>
      <c r="I136" s="20" t="s">
        <v>822</v>
      </c>
      <c r="J136" s="21">
        <f t="shared" ca="1" si="4"/>
        <v>534</v>
      </c>
      <c r="K136" s="20" t="str">
        <f t="shared" ca="1" si="5"/>
        <v>Overdue</v>
      </c>
    </row>
    <row r="137" spans="1:11" x14ac:dyDescent="0.3">
      <c r="A137" s="18" t="s">
        <v>144</v>
      </c>
      <c r="B137" s="18" t="s">
        <v>809</v>
      </c>
      <c r="C137" s="19">
        <v>45381</v>
      </c>
      <c r="D137" s="19">
        <v>45411</v>
      </c>
      <c r="E137" s="17">
        <v>2379.1799999999998</v>
      </c>
      <c r="F137" s="20" t="s">
        <v>818</v>
      </c>
      <c r="G137" s="20" t="s">
        <v>821</v>
      </c>
      <c r="H137" s="22">
        <v>45411</v>
      </c>
      <c r="I137" s="20" t="s">
        <v>822</v>
      </c>
      <c r="J137" s="21">
        <f t="shared" ca="1" si="4"/>
        <v>784</v>
      </c>
      <c r="K137" s="20" t="str">
        <f t="shared" ca="1" si="5"/>
        <v>OK</v>
      </c>
    </row>
    <row r="138" spans="1:11" x14ac:dyDescent="0.3">
      <c r="A138" s="18" t="s">
        <v>145</v>
      </c>
      <c r="B138" s="18" t="s">
        <v>809</v>
      </c>
      <c r="C138" s="19">
        <v>45265</v>
      </c>
      <c r="D138" s="19">
        <v>45295</v>
      </c>
      <c r="E138" s="17">
        <v>4032.55</v>
      </c>
      <c r="F138" s="20" t="s">
        <v>815</v>
      </c>
      <c r="G138" s="20" t="s">
        <v>821</v>
      </c>
      <c r="H138" s="22">
        <v>45295</v>
      </c>
      <c r="I138" s="20" t="s">
        <v>822</v>
      </c>
      <c r="J138" s="21">
        <f t="shared" ca="1" si="4"/>
        <v>900</v>
      </c>
      <c r="K138" s="20" t="str">
        <f t="shared" ca="1" si="5"/>
        <v>OK</v>
      </c>
    </row>
    <row r="139" spans="1:11" x14ac:dyDescent="0.3">
      <c r="A139" s="18" t="s">
        <v>146</v>
      </c>
      <c r="B139" s="18" t="s">
        <v>813</v>
      </c>
      <c r="C139" s="19">
        <v>45494</v>
      </c>
      <c r="D139" s="19">
        <v>45524</v>
      </c>
      <c r="E139" s="17">
        <v>3922.59</v>
      </c>
      <c r="F139" s="20" t="s">
        <v>818</v>
      </c>
      <c r="G139" s="20" t="s">
        <v>821</v>
      </c>
      <c r="H139" s="22">
        <v>45524</v>
      </c>
      <c r="I139" s="20" t="s">
        <v>822</v>
      </c>
      <c r="J139" s="21">
        <f t="shared" ca="1" si="4"/>
        <v>671</v>
      </c>
      <c r="K139" s="20" t="str">
        <f t="shared" ca="1" si="5"/>
        <v>OK</v>
      </c>
    </row>
    <row r="140" spans="1:11" x14ac:dyDescent="0.3">
      <c r="A140" s="18" t="s">
        <v>147</v>
      </c>
      <c r="B140" s="18" t="s">
        <v>813</v>
      </c>
      <c r="C140" s="19">
        <v>45174</v>
      </c>
      <c r="D140" s="19">
        <v>45204</v>
      </c>
      <c r="E140" s="17">
        <v>3377.42</v>
      </c>
      <c r="F140" s="20" t="s">
        <v>816</v>
      </c>
      <c r="G140" s="20" t="s">
        <v>821</v>
      </c>
      <c r="H140" s="22">
        <v>45204</v>
      </c>
      <c r="I140" s="20" t="s">
        <v>822</v>
      </c>
      <c r="J140" s="21">
        <f t="shared" ca="1" si="4"/>
        <v>991</v>
      </c>
      <c r="K140" s="20" t="str">
        <f t="shared" ca="1" si="5"/>
        <v>OK</v>
      </c>
    </row>
    <row r="141" spans="1:11" x14ac:dyDescent="0.3">
      <c r="A141" s="18" t="s">
        <v>148</v>
      </c>
      <c r="B141" s="18" t="s">
        <v>812</v>
      </c>
      <c r="C141" s="19">
        <v>45638</v>
      </c>
      <c r="D141" s="19">
        <v>45668</v>
      </c>
      <c r="E141" s="17">
        <v>3927.21</v>
      </c>
      <c r="F141" s="20" t="s">
        <v>814</v>
      </c>
      <c r="G141" s="20" t="s">
        <v>820</v>
      </c>
      <c r="H141" s="20" t="s">
        <v>823</v>
      </c>
      <c r="I141" s="20" t="s">
        <v>822</v>
      </c>
      <c r="J141" s="21">
        <f t="shared" ca="1" si="4"/>
        <v>527</v>
      </c>
      <c r="K141" s="20" t="str">
        <f t="shared" ca="1" si="5"/>
        <v>Overdue</v>
      </c>
    </row>
    <row r="142" spans="1:11" x14ac:dyDescent="0.3">
      <c r="A142" s="18" t="s">
        <v>149</v>
      </c>
      <c r="B142" s="18" t="s">
        <v>812</v>
      </c>
      <c r="C142" s="19">
        <v>45400</v>
      </c>
      <c r="D142" s="19">
        <v>45430</v>
      </c>
      <c r="E142" s="17">
        <v>4292.3500000000004</v>
      </c>
      <c r="F142" s="20" t="s">
        <v>815</v>
      </c>
      <c r="G142" s="20" t="s">
        <v>819</v>
      </c>
      <c r="H142" s="20" t="s">
        <v>823</v>
      </c>
      <c r="I142" s="20" t="s">
        <v>822</v>
      </c>
      <c r="J142" s="21">
        <f t="shared" ca="1" si="4"/>
        <v>765</v>
      </c>
      <c r="K142" s="20" t="str">
        <f t="shared" ca="1" si="5"/>
        <v>Overdue</v>
      </c>
    </row>
    <row r="143" spans="1:11" x14ac:dyDescent="0.3">
      <c r="A143" s="18" t="s">
        <v>150</v>
      </c>
      <c r="B143" s="18" t="s">
        <v>810</v>
      </c>
      <c r="C143" s="19">
        <v>45827</v>
      </c>
      <c r="D143" s="19">
        <v>45857</v>
      </c>
      <c r="E143" s="17">
        <v>3350.66</v>
      </c>
      <c r="F143" s="20" t="s">
        <v>817</v>
      </c>
      <c r="G143" s="20" t="s">
        <v>820</v>
      </c>
      <c r="H143" s="20" t="s">
        <v>823</v>
      </c>
      <c r="I143" s="20" t="s">
        <v>822</v>
      </c>
      <c r="J143" s="21">
        <f t="shared" ca="1" si="4"/>
        <v>338</v>
      </c>
      <c r="K143" s="20" t="str">
        <f t="shared" ca="1" si="5"/>
        <v>Overdue</v>
      </c>
    </row>
    <row r="144" spans="1:11" x14ac:dyDescent="0.3">
      <c r="A144" s="18" t="s">
        <v>151</v>
      </c>
      <c r="B144" s="18" t="s">
        <v>813</v>
      </c>
      <c r="C144" s="19">
        <v>45074</v>
      </c>
      <c r="D144" s="19">
        <v>45104</v>
      </c>
      <c r="E144" s="17">
        <v>4762.47</v>
      </c>
      <c r="F144" s="20" t="s">
        <v>817</v>
      </c>
      <c r="G144" s="20" t="s">
        <v>820</v>
      </c>
      <c r="H144" s="20" t="s">
        <v>823</v>
      </c>
      <c r="I144" s="20" t="s">
        <v>822</v>
      </c>
      <c r="J144" s="21">
        <f t="shared" ca="1" si="4"/>
        <v>1091</v>
      </c>
      <c r="K144" s="20" t="str">
        <f t="shared" ca="1" si="5"/>
        <v>Overdue</v>
      </c>
    </row>
    <row r="145" spans="1:11" x14ac:dyDescent="0.3">
      <c r="A145" s="18" t="s">
        <v>152</v>
      </c>
      <c r="B145" s="18" t="s">
        <v>813</v>
      </c>
      <c r="C145" s="19">
        <v>45139</v>
      </c>
      <c r="D145" s="19">
        <v>45169</v>
      </c>
      <c r="E145" s="17">
        <v>1589.97</v>
      </c>
      <c r="F145" s="20" t="s">
        <v>818</v>
      </c>
      <c r="G145" s="20" t="s">
        <v>819</v>
      </c>
      <c r="H145" s="20" t="s">
        <v>823</v>
      </c>
      <c r="I145" s="20" t="s">
        <v>822</v>
      </c>
      <c r="J145" s="21">
        <f t="shared" ca="1" si="4"/>
        <v>1026</v>
      </c>
      <c r="K145" s="20" t="str">
        <f t="shared" ca="1" si="5"/>
        <v>Overdue</v>
      </c>
    </row>
    <row r="146" spans="1:11" x14ac:dyDescent="0.3">
      <c r="A146" s="18" t="s">
        <v>153</v>
      </c>
      <c r="B146" s="18" t="s">
        <v>811</v>
      </c>
      <c r="C146" s="19">
        <v>45467</v>
      </c>
      <c r="D146" s="19">
        <v>45497</v>
      </c>
      <c r="E146" s="17">
        <v>2206.4</v>
      </c>
      <c r="F146" s="20" t="s">
        <v>816</v>
      </c>
      <c r="G146" s="20" t="s">
        <v>820</v>
      </c>
      <c r="H146" s="20" t="s">
        <v>823</v>
      </c>
      <c r="I146" s="20" t="s">
        <v>822</v>
      </c>
      <c r="J146" s="21">
        <f t="shared" ca="1" si="4"/>
        <v>698</v>
      </c>
      <c r="K146" s="20" t="str">
        <f t="shared" ca="1" si="5"/>
        <v>Overdue</v>
      </c>
    </row>
    <row r="147" spans="1:11" x14ac:dyDescent="0.3">
      <c r="A147" s="18" t="s">
        <v>154</v>
      </c>
      <c r="B147" s="18" t="s">
        <v>812</v>
      </c>
      <c r="C147" s="19">
        <v>45258</v>
      </c>
      <c r="D147" s="19">
        <v>45288</v>
      </c>
      <c r="E147" s="17">
        <v>2642.46</v>
      </c>
      <c r="F147" s="20" t="s">
        <v>816</v>
      </c>
      <c r="G147" s="20" t="s">
        <v>821</v>
      </c>
      <c r="H147" s="22">
        <v>45288</v>
      </c>
      <c r="I147" s="20" t="s">
        <v>822</v>
      </c>
      <c r="J147" s="21">
        <f t="shared" ca="1" si="4"/>
        <v>907</v>
      </c>
      <c r="K147" s="20" t="str">
        <f t="shared" ca="1" si="5"/>
        <v>OK</v>
      </c>
    </row>
    <row r="148" spans="1:11" x14ac:dyDescent="0.3">
      <c r="A148" s="18" t="s">
        <v>155</v>
      </c>
      <c r="B148" s="18" t="s">
        <v>813</v>
      </c>
      <c r="C148" s="19">
        <v>45392</v>
      </c>
      <c r="D148" s="19">
        <v>45422</v>
      </c>
      <c r="E148" s="17">
        <v>2413.9</v>
      </c>
      <c r="F148" s="20" t="s">
        <v>815</v>
      </c>
      <c r="G148" s="20" t="s">
        <v>820</v>
      </c>
      <c r="H148" s="20" t="s">
        <v>823</v>
      </c>
      <c r="I148" s="20" t="s">
        <v>822</v>
      </c>
      <c r="J148" s="21">
        <f t="shared" ca="1" si="4"/>
        <v>773</v>
      </c>
      <c r="K148" s="20" t="str">
        <f t="shared" ca="1" si="5"/>
        <v>Overdue</v>
      </c>
    </row>
    <row r="149" spans="1:11" x14ac:dyDescent="0.3">
      <c r="A149" s="18" t="s">
        <v>156</v>
      </c>
      <c r="B149" s="18" t="s">
        <v>812</v>
      </c>
      <c r="C149" s="19">
        <v>45154</v>
      </c>
      <c r="D149" s="19">
        <v>45184</v>
      </c>
      <c r="E149" s="17">
        <v>2803.47</v>
      </c>
      <c r="F149" s="20" t="s">
        <v>817</v>
      </c>
      <c r="G149" s="20" t="s">
        <v>820</v>
      </c>
      <c r="H149" s="20" t="s">
        <v>823</v>
      </c>
      <c r="I149" s="20" t="s">
        <v>822</v>
      </c>
      <c r="J149" s="21">
        <f t="shared" ca="1" si="4"/>
        <v>1011</v>
      </c>
      <c r="K149" s="20" t="str">
        <f t="shared" ca="1" si="5"/>
        <v>Overdue</v>
      </c>
    </row>
    <row r="150" spans="1:11" x14ac:dyDescent="0.3">
      <c r="A150" s="18" t="s">
        <v>157</v>
      </c>
      <c r="B150" s="18" t="s">
        <v>810</v>
      </c>
      <c r="C150" s="19">
        <v>45199</v>
      </c>
      <c r="D150" s="19">
        <v>45229</v>
      </c>
      <c r="E150" s="17">
        <v>3709.9</v>
      </c>
      <c r="F150" s="20" t="s">
        <v>814</v>
      </c>
      <c r="G150" s="20" t="s">
        <v>820</v>
      </c>
      <c r="H150" s="20" t="s">
        <v>823</v>
      </c>
      <c r="I150" s="20" t="s">
        <v>822</v>
      </c>
      <c r="J150" s="21">
        <f t="shared" ca="1" si="4"/>
        <v>966</v>
      </c>
      <c r="K150" s="20" t="str">
        <f t="shared" ca="1" si="5"/>
        <v>Overdue</v>
      </c>
    </row>
    <row r="151" spans="1:11" x14ac:dyDescent="0.3">
      <c r="A151" s="18" t="s">
        <v>158</v>
      </c>
      <c r="B151" s="18" t="s">
        <v>811</v>
      </c>
      <c r="C151" s="19">
        <v>45456</v>
      </c>
      <c r="D151" s="19">
        <v>45486</v>
      </c>
      <c r="E151" s="17">
        <v>4721.1499999999996</v>
      </c>
      <c r="F151" s="20" t="s">
        <v>818</v>
      </c>
      <c r="G151" s="20" t="s">
        <v>821</v>
      </c>
      <c r="H151" s="22">
        <v>45486</v>
      </c>
      <c r="I151" s="20" t="s">
        <v>822</v>
      </c>
      <c r="J151" s="21">
        <f t="shared" ca="1" si="4"/>
        <v>709</v>
      </c>
      <c r="K151" s="20" t="str">
        <f t="shared" ca="1" si="5"/>
        <v>OK</v>
      </c>
    </row>
    <row r="152" spans="1:11" x14ac:dyDescent="0.3">
      <c r="A152" s="18" t="s">
        <v>159</v>
      </c>
      <c r="B152" s="18" t="s">
        <v>813</v>
      </c>
      <c r="C152" s="19">
        <v>45144</v>
      </c>
      <c r="D152" s="19">
        <v>45174</v>
      </c>
      <c r="E152" s="17">
        <v>1555.44</v>
      </c>
      <c r="F152" s="20" t="s">
        <v>817</v>
      </c>
      <c r="G152" s="20" t="s">
        <v>820</v>
      </c>
      <c r="H152" s="20" t="s">
        <v>823</v>
      </c>
      <c r="I152" s="20" t="s">
        <v>822</v>
      </c>
      <c r="J152" s="21">
        <f t="shared" ca="1" si="4"/>
        <v>1021</v>
      </c>
      <c r="K152" s="20" t="str">
        <f t="shared" ca="1" si="5"/>
        <v>Overdue</v>
      </c>
    </row>
    <row r="153" spans="1:11" x14ac:dyDescent="0.3">
      <c r="A153" s="18" t="s">
        <v>160</v>
      </c>
      <c r="B153" s="18" t="s">
        <v>811</v>
      </c>
      <c r="C153" s="19">
        <v>45390</v>
      </c>
      <c r="D153" s="19">
        <v>45420</v>
      </c>
      <c r="E153" s="17">
        <v>2731.15</v>
      </c>
      <c r="F153" s="20" t="s">
        <v>817</v>
      </c>
      <c r="G153" s="20" t="s">
        <v>821</v>
      </c>
      <c r="H153" s="22">
        <v>45420</v>
      </c>
      <c r="I153" s="20" t="s">
        <v>822</v>
      </c>
      <c r="J153" s="21">
        <f t="shared" ca="1" si="4"/>
        <v>775</v>
      </c>
      <c r="K153" s="20" t="str">
        <f t="shared" ca="1" si="5"/>
        <v>OK</v>
      </c>
    </row>
    <row r="154" spans="1:11" x14ac:dyDescent="0.3">
      <c r="A154" s="18" t="s">
        <v>161</v>
      </c>
      <c r="B154" s="18" t="s">
        <v>809</v>
      </c>
      <c r="C154" s="19">
        <v>45622</v>
      </c>
      <c r="D154" s="19">
        <v>45652</v>
      </c>
      <c r="E154" s="17">
        <v>3600.41</v>
      </c>
      <c r="F154" s="20" t="s">
        <v>815</v>
      </c>
      <c r="G154" s="20" t="s">
        <v>820</v>
      </c>
      <c r="H154" s="20" t="s">
        <v>823</v>
      </c>
      <c r="I154" s="20" t="s">
        <v>822</v>
      </c>
      <c r="J154" s="21">
        <f t="shared" ca="1" si="4"/>
        <v>543</v>
      </c>
      <c r="K154" s="20" t="str">
        <f t="shared" ca="1" si="5"/>
        <v>Overdue</v>
      </c>
    </row>
    <row r="155" spans="1:11" x14ac:dyDescent="0.3">
      <c r="A155" s="18" t="s">
        <v>162</v>
      </c>
      <c r="B155" s="18" t="s">
        <v>809</v>
      </c>
      <c r="C155" s="19">
        <v>44990</v>
      </c>
      <c r="D155" s="19">
        <v>45020</v>
      </c>
      <c r="E155" s="17">
        <v>1532.1</v>
      </c>
      <c r="F155" s="20" t="s">
        <v>814</v>
      </c>
      <c r="G155" s="20" t="s">
        <v>821</v>
      </c>
      <c r="H155" s="22">
        <v>45020</v>
      </c>
      <c r="I155" s="20" t="s">
        <v>822</v>
      </c>
      <c r="J155" s="21">
        <f t="shared" ca="1" si="4"/>
        <v>1175</v>
      </c>
      <c r="K155" s="20" t="str">
        <f t="shared" ca="1" si="5"/>
        <v>OK</v>
      </c>
    </row>
    <row r="156" spans="1:11" x14ac:dyDescent="0.3">
      <c r="A156" s="18" t="s">
        <v>163</v>
      </c>
      <c r="B156" s="18" t="s">
        <v>810</v>
      </c>
      <c r="C156" s="19">
        <v>45475</v>
      </c>
      <c r="D156" s="19">
        <v>45505</v>
      </c>
      <c r="E156" s="17">
        <v>3671.9</v>
      </c>
      <c r="F156" s="20" t="s">
        <v>817</v>
      </c>
      <c r="G156" s="20" t="s">
        <v>819</v>
      </c>
      <c r="H156" s="20" t="s">
        <v>823</v>
      </c>
      <c r="I156" s="20" t="s">
        <v>822</v>
      </c>
      <c r="J156" s="21">
        <f t="shared" ca="1" si="4"/>
        <v>690</v>
      </c>
      <c r="K156" s="20" t="str">
        <f t="shared" ca="1" si="5"/>
        <v>Overdue</v>
      </c>
    </row>
    <row r="157" spans="1:11" x14ac:dyDescent="0.3">
      <c r="A157" s="18" t="s">
        <v>164</v>
      </c>
      <c r="B157" s="18" t="s">
        <v>811</v>
      </c>
      <c r="C157" s="19">
        <v>45345</v>
      </c>
      <c r="D157" s="19">
        <v>45375</v>
      </c>
      <c r="E157" s="17">
        <v>249.12</v>
      </c>
      <c r="F157" s="20" t="s">
        <v>817</v>
      </c>
      <c r="G157" s="20" t="s">
        <v>819</v>
      </c>
      <c r="H157" s="20" t="s">
        <v>823</v>
      </c>
      <c r="I157" s="20" t="s">
        <v>822</v>
      </c>
      <c r="J157" s="21">
        <f t="shared" ca="1" si="4"/>
        <v>820</v>
      </c>
      <c r="K157" s="20" t="str">
        <f t="shared" ca="1" si="5"/>
        <v>Overdue</v>
      </c>
    </row>
    <row r="158" spans="1:11" x14ac:dyDescent="0.3">
      <c r="A158" s="18" t="s">
        <v>165</v>
      </c>
      <c r="B158" s="18" t="s">
        <v>812</v>
      </c>
      <c r="C158" s="19">
        <v>45567</v>
      </c>
      <c r="D158" s="19">
        <v>45597</v>
      </c>
      <c r="E158" s="17">
        <v>1247.49</v>
      </c>
      <c r="F158" s="20" t="s">
        <v>814</v>
      </c>
      <c r="G158" s="20" t="s">
        <v>820</v>
      </c>
      <c r="H158" s="20" t="s">
        <v>823</v>
      </c>
      <c r="I158" s="20" t="s">
        <v>822</v>
      </c>
      <c r="J158" s="21">
        <f t="shared" ca="1" si="4"/>
        <v>598</v>
      </c>
      <c r="K158" s="20" t="str">
        <f t="shared" ca="1" si="5"/>
        <v>Overdue</v>
      </c>
    </row>
    <row r="159" spans="1:11" x14ac:dyDescent="0.3">
      <c r="A159" s="18" t="s">
        <v>166</v>
      </c>
      <c r="B159" s="18" t="s">
        <v>812</v>
      </c>
      <c r="C159" s="19">
        <v>45081</v>
      </c>
      <c r="D159" s="19">
        <v>45111</v>
      </c>
      <c r="E159" s="17">
        <v>4374.63</v>
      </c>
      <c r="F159" s="20" t="s">
        <v>817</v>
      </c>
      <c r="G159" s="20" t="s">
        <v>820</v>
      </c>
      <c r="H159" s="20" t="s">
        <v>823</v>
      </c>
      <c r="I159" s="20" t="s">
        <v>822</v>
      </c>
      <c r="J159" s="21">
        <f t="shared" ca="1" si="4"/>
        <v>1084</v>
      </c>
      <c r="K159" s="20" t="str">
        <f t="shared" ca="1" si="5"/>
        <v>Overdue</v>
      </c>
    </row>
    <row r="160" spans="1:11" x14ac:dyDescent="0.3">
      <c r="A160" s="18" t="s">
        <v>167</v>
      </c>
      <c r="B160" s="18" t="s">
        <v>812</v>
      </c>
      <c r="C160" s="19">
        <v>45044</v>
      </c>
      <c r="D160" s="19">
        <v>45074</v>
      </c>
      <c r="E160" s="17">
        <v>3691.12</v>
      </c>
      <c r="F160" s="20" t="s">
        <v>814</v>
      </c>
      <c r="G160" s="20" t="s">
        <v>820</v>
      </c>
      <c r="H160" s="20" t="s">
        <v>823</v>
      </c>
      <c r="I160" s="20" t="s">
        <v>822</v>
      </c>
      <c r="J160" s="21">
        <f t="shared" ca="1" si="4"/>
        <v>1121</v>
      </c>
      <c r="K160" s="20" t="str">
        <f t="shared" ca="1" si="5"/>
        <v>Overdue</v>
      </c>
    </row>
    <row r="161" spans="1:11" x14ac:dyDescent="0.3">
      <c r="A161" s="18" t="s">
        <v>168</v>
      </c>
      <c r="B161" s="18" t="s">
        <v>812</v>
      </c>
      <c r="C161" s="19">
        <v>45443</v>
      </c>
      <c r="D161" s="19">
        <v>45473</v>
      </c>
      <c r="E161" s="17">
        <v>4217.3900000000003</v>
      </c>
      <c r="F161" s="20" t="s">
        <v>818</v>
      </c>
      <c r="G161" s="20" t="s">
        <v>821</v>
      </c>
      <c r="H161" s="22">
        <v>45473</v>
      </c>
      <c r="I161" s="20" t="s">
        <v>822</v>
      </c>
      <c r="J161" s="21">
        <f t="shared" ca="1" si="4"/>
        <v>722</v>
      </c>
      <c r="K161" s="20" t="str">
        <f t="shared" ca="1" si="5"/>
        <v>OK</v>
      </c>
    </row>
    <row r="162" spans="1:11" x14ac:dyDescent="0.3">
      <c r="A162" s="18" t="s">
        <v>169</v>
      </c>
      <c r="B162" s="18" t="s">
        <v>810</v>
      </c>
      <c r="C162" s="19">
        <v>45204</v>
      </c>
      <c r="D162" s="19">
        <v>45234</v>
      </c>
      <c r="E162" s="17">
        <v>4642.3599999999997</v>
      </c>
      <c r="F162" s="20" t="s">
        <v>815</v>
      </c>
      <c r="G162" s="20" t="s">
        <v>819</v>
      </c>
      <c r="H162" s="20" t="s">
        <v>823</v>
      </c>
      <c r="I162" s="20" t="s">
        <v>822</v>
      </c>
      <c r="J162" s="21">
        <f t="shared" ca="1" si="4"/>
        <v>961</v>
      </c>
      <c r="K162" s="20" t="str">
        <f t="shared" ca="1" si="5"/>
        <v>Overdue</v>
      </c>
    </row>
    <row r="163" spans="1:11" x14ac:dyDescent="0.3">
      <c r="A163" s="18" t="s">
        <v>170</v>
      </c>
      <c r="B163" s="18" t="s">
        <v>809</v>
      </c>
      <c r="C163" s="19">
        <v>45734</v>
      </c>
      <c r="D163" s="19">
        <v>45764</v>
      </c>
      <c r="E163" s="17">
        <v>3580.35</v>
      </c>
      <c r="F163" s="20" t="s">
        <v>818</v>
      </c>
      <c r="G163" s="20" t="s">
        <v>820</v>
      </c>
      <c r="H163" s="20" t="s">
        <v>823</v>
      </c>
      <c r="I163" s="20" t="s">
        <v>822</v>
      </c>
      <c r="J163" s="21">
        <f t="shared" ca="1" si="4"/>
        <v>431</v>
      </c>
      <c r="K163" s="20" t="str">
        <f t="shared" ca="1" si="5"/>
        <v>Overdue</v>
      </c>
    </row>
    <row r="164" spans="1:11" x14ac:dyDescent="0.3">
      <c r="A164" s="18" t="s">
        <v>171</v>
      </c>
      <c r="B164" s="18" t="s">
        <v>813</v>
      </c>
      <c r="C164" s="19">
        <v>45325</v>
      </c>
      <c r="D164" s="19">
        <v>45355</v>
      </c>
      <c r="E164" s="17">
        <v>3588.69</v>
      </c>
      <c r="F164" s="20" t="s">
        <v>818</v>
      </c>
      <c r="G164" s="20" t="s">
        <v>820</v>
      </c>
      <c r="H164" s="20" t="s">
        <v>823</v>
      </c>
      <c r="I164" s="20" t="s">
        <v>822</v>
      </c>
      <c r="J164" s="21">
        <f t="shared" ca="1" si="4"/>
        <v>840</v>
      </c>
      <c r="K164" s="20" t="str">
        <f t="shared" ca="1" si="5"/>
        <v>Overdue</v>
      </c>
    </row>
    <row r="165" spans="1:11" x14ac:dyDescent="0.3">
      <c r="A165" s="18" t="s">
        <v>172</v>
      </c>
      <c r="B165" s="18" t="s">
        <v>813</v>
      </c>
      <c r="C165" s="19">
        <v>45586</v>
      </c>
      <c r="D165" s="19">
        <v>45616</v>
      </c>
      <c r="E165" s="17">
        <v>2407.4</v>
      </c>
      <c r="F165" s="20" t="s">
        <v>815</v>
      </c>
      <c r="G165" s="20" t="s">
        <v>820</v>
      </c>
      <c r="H165" s="20" t="s">
        <v>823</v>
      </c>
      <c r="I165" s="20" t="s">
        <v>822</v>
      </c>
      <c r="J165" s="21">
        <f t="shared" ca="1" si="4"/>
        <v>579</v>
      </c>
      <c r="K165" s="20" t="str">
        <f t="shared" ca="1" si="5"/>
        <v>Overdue</v>
      </c>
    </row>
    <row r="166" spans="1:11" x14ac:dyDescent="0.3">
      <c r="A166" s="18" t="s">
        <v>173</v>
      </c>
      <c r="B166" s="18" t="s">
        <v>813</v>
      </c>
      <c r="C166" s="19">
        <v>45017</v>
      </c>
      <c r="D166" s="19">
        <v>45047</v>
      </c>
      <c r="E166" s="17">
        <v>649.78</v>
      </c>
      <c r="F166" s="20" t="s">
        <v>815</v>
      </c>
      <c r="G166" s="20" t="s">
        <v>820</v>
      </c>
      <c r="H166" s="20" t="s">
        <v>823</v>
      </c>
      <c r="I166" s="20" t="s">
        <v>822</v>
      </c>
      <c r="J166" s="21">
        <f t="shared" ca="1" si="4"/>
        <v>1148</v>
      </c>
      <c r="K166" s="20" t="str">
        <f t="shared" ca="1" si="5"/>
        <v>Overdue</v>
      </c>
    </row>
    <row r="167" spans="1:11" x14ac:dyDescent="0.3">
      <c r="A167" s="18" t="s">
        <v>174</v>
      </c>
      <c r="B167" s="18" t="s">
        <v>811</v>
      </c>
      <c r="C167" s="19">
        <v>45549</v>
      </c>
      <c r="D167" s="19">
        <v>45579</v>
      </c>
      <c r="E167" s="17">
        <v>143.83000000000001</v>
      </c>
      <c r="F167" s="20" t="s">
        <v>815</v>
      </c>
      <c r="G167" s="20" t="s">
        <v>821</v>
      </c>
      <c r="H167" s="22">
        <v>45579</v>
      </c>
      <c r="I167" s="20" t="s">
        <v>822</v>
      </c>
      <c r="J167" s="21">
        <f t="shared" ca="1" si="4"/>
        <v>616</v>
      </c>
      <c r="K167" s="20" t="str">
        <f t="shared" ca="1" si="5"/>
        <v>OK</v>
      </c>
    </row>
    <row r="168" spans="1:11" x14ac:dyDescent="0.3">
      <c r="A168" s="18" t="s">
        <v>175</v>
      </c>
      <c r="B168" s="18" t="s">
        <v>812</v>
      </c>
      <c r="C168" s="19">
        <v>45813</v>
      </c>
      <c r="D168" s="19">
        <v>45843</v>
      </c>
      <c r="E168" s="17">
        <v>1041.99</v>
      </c>
      <c r="F168" s="20" t="s">
        <v>817</v>
      </c>
      <c r="G168" s="20" t="s">
        <v>819</v>
      </c>
      <c r="H168" s="20" t="s">
        <v>823</v>
      </c>
      <c r="I168" s="20" t="s">
        <v>822</v>
      </c>
      <c r="J168" s="21">
        <f t="shared" ca="1" si="4"/>
        <v>352</v>
      </c>
      <c r="K168" s="20" t="str">
        <f t="shared" ca="1" si="5"/>
        <v>Overdue</v>
      </c>
    </row>
    <row r="169" spans="1:11" x14ac:dyDescent="0.3">
      <c r="A169" s="18" t="s">
        <v>176</v>
      </c>
      <c r="B169" s="18" t="s">
        <v>809</v>
      </c>
      <c r="C169" s="19">
        <v>45088</v>
      </c>
      <c r="D169" s="19">
        <v>45118</v>
      </c>
      <c r="E169" s="17">
        <v>2826</v>
      </c>
      <c r="F169" s="20" t="s">
        <v>815</v>
      </c>
      <c r="G169" s="20" t="s">
        <v>819</v>
      </c>
      <c r="H169" s="20" t="s">
        <v>823</v>
      </c>
      <c r="I169" s="20" t="s">
        <v>822</v>
      </c>
      <c r="J169" s="21">
        <f t="shared" ca="1" si="4"/>
        <v>1077</v>
      </c>
      <c r="K169" s="20" t="str">
        <f t="shared" ca="1" si="5"/>
        <v>Overdue</v>
      </c>
    </row>
    <row r="170" spans="1:11" x14ac:dyDescent="0.3">
      <c r="A170" s="18" t="s">
        <v>177</v>
      </c>
      <c r="B170" s="18" t="s">
        <v>809</v>
      </c>
      <c r="C170" s="19">
        <v>45637</v>
      </c>
      <c r="D170" s="19">
        <v>45667</v>
      </c>
      <c r="E170" s="17">
        <v>3078.5</v>
      </c>
      <c r="F170" s="20" t="s">
        <v>816</v>
      </c>
      <c r="G170" s="20" t="s">
        <v>821</v>
      </c>
      <c r="H170" s="22">
        <v>45667</v>
      </c>
      <c r="I170" s="20" t="s">
        <v>822</v>
      </c>
      <c r="J170" s="21">
        <f t="shared" ca="1" si="4"/>
        <v>528</v>
      </c>
      <c r="K170" s="20" t="str">
        <f t="shared" ca="1" si="5"/>
        <v>OK</v>
      </c>
    </row>
    <row r="171" spans="1:11" x14ac:dyDescent="0.3">
      <c r="A171" s="18" t="s">
        <v>178</v>
      </c>
      <c r="B171" s="18" t="s">
        <v>810</v>
      </c>
      <c r="C171" s="19">
        <v>45748</v>
      </c>
      <c r="D171" s="19">
        <v>45778</v>
      </c>
      <c r="E171" s="17">
        <v>3139.88</v>
      </c>
      <c r="F171" s="20" t="s">
        <v>818</v>
      </c>
      <c r="G171" s="20" t="s">
        <v>820</v>
      </c>
      <c r="H171" s="20" t="s">
        <v>823</v>
      </c>
      <c r="I171" s="20" t="s">
        <v>822</v>
      </c>
      <c r="J171" s="21">
        <f t="shared" ca="1" si="4"/>
        <v>417</v>
      </c>
      <c r="K171" s="20" t="str">
        <f t="shared" ca="1" si="5"/>
        <v>Overdue</v>
      </c>
    </row>
    <row r="172" spans="1:11" x14ac:dyDescent="0.3">
      <c r="A172" s="18" t="s">
        <v>179</v>
      </c>
      <c r="B172" s="18" t="s">
        <v>813</v>
      </c>
      <c r="C172" s="19">
        <v>45043</v>
      </c>
      <c r="D172" s="19">
        <v>45073</v>
      </c>
      <c r="E172" s="17">
        <v>4899.6400000000003</v>
      </c>
      <c r="F172" s="20" t="s">
        <v>818</v>
      </c>
      <c r="G172" s="20" t="s">
        <v>821</v>
      </c>
      <c r="H172" s="22">
        <v>45073</v>
      </c>
      <c r="I172" s="20" t="s">
        <v>822</v>
      </c>
      <c r="J172" s="21">
        <f t="shared" ca="1" si="4"/>
        <v>1122</v>
      </c>
      <c r="K172" s="20" t="str">
        <f t="shared" ca="1" si="5"/>
        <v>OK</v>
      </c>
    </row>
    <row r="173" spans="1:11" x14ac:dyDescent="0.3">
      <c r="A173" s="18" t="s">
        <v>180</v>
      </c>
      <c r="B173" s="18" t="s">
        <v>809</v>
      </c>
      <c r="C173" s="19">
        <v>45635</v>
      </c>
      <c r="D173" s="19">
        <v>45665</v>
      </c>
      <c r="E173" s="17">
        <v>3205.33</v>
      </c>
      <c r="F173" s="20" t="s">
        <v>817</v>
      </c>
      <c r="G173" s="20" t="s">
        <v>820</v>
      </c>
      <c r="H173" s="20" t="s">
        <v>823</v>
      </c>
      <c r="I173" s="20" t="s">
        <v>822</v>
      </c>
      <c r="J173" s="21">
        <f t="shared" ca="1" si="4"/>
        <v>530</v>
      </c>
      <c r="K173" s="20" t="str">
        <f t="shared" ca="1" si="5"/>
        <v>Overdue</v>
      </c>
    </row>
    <row r="174" spans="1:11" x14ac:dyDescent="0.3">
      <c r="A174" s="18" t="s">
        <v>181</v>
      </c>
      <c r="B174" s="18" t="s">
        <v>811</v>
      </c>
      <c r="C174" s="19">
        <v>45605</v>
      </c>
      <c r="D174" s="19">
        <v>45635</v>
      </c>
      <c r="E174" s="17">
        <v>1285.77</v>
      </c>
      <c r="F174" s="20" t="s">
        <v>817</v>
      </c>
      <c r="G174" s="20" t="s">
        <v>820</v>
      </c>
      <c r="H174" s="20" t="s">
        <v>823</v>
      </c>
      <c r="I174" s="20" t="s">
        <v>822</v>
      </c>
      <c r="J174" s="21">
        <f t="shared" ca="1" si="4"/>
        <v>560</v>
      </c>
      <c r="K174" s="20" t="str">
        <f t="shared" ca="1" si="5"/>
        <v>Overdue</v>
      </c>
    </row>
    <row r="175" spans="1:11" x14ac:dyDescent="0.3">
      <c r="A175" s="18" t="s">
        <v>182</v>
      </c>
      <c r="B175" s="18" t="s">
        <v>809</v>
      </c>
      <c r="C175" s="19">
        <v>45828</v>
      </c>
      <c r="D175" s="19">
        <v>45858</v>
      </c>
      <c r="E175" s="17">
        <v>216.78</v>
      </c>
      <c r="F175" s="20" t="s">
        <v>817</v>
      </c>
      <c r="G175" s="20" t="s">
        <v>820</v>
      </c>
      <c r="H175" s="20" t="s">
        <v>823</v>
      </c>
      <c r="I175" s="20" t="s">
        <v>822</v>
      </c>
      <c r="J175" s="21">
        <f t="shared" ca="1" si="4"/>
        <v>337</v>
      </c>
      <c r="K175" s="20" t="str">
        <f t="shared" ca="1" si="5"/>
        <v>Overdue</v>
      </c>
    </row>
    <row r="176" spans="1:11" x14ac:dyDescent="0.3">
      <c r="A176" s="18" t="s">
        <v>183</v>
      </c>
      <c r="B176" s="18" t="s">
        <v>813</v>
      </c>
      <c r="C176" s="19">
        <v>44990</v>
      </c>
      <c r="D176" s="19">
        <v>45020</v>
      </c>
      <c r="E176" s="17">
        <v>4512.7700000000004</v>
      </c>
      <c r="F176" s="20" t="s">
        <v>815</v>
      </c>
      <c r="G176" s="20" t="s">
        <v>820</v>
      </c>
      <c r="H176" s="20" t="s">
        <v>823</v>
      </c>
      <c r="I176" s="20" t="s">
        <v>822</v>
      </c>
      <c r="J176" s="21">
        <f t="shared" ca="1" si="4"/>
        <v>1175</v>
      </c>
      <c r="K176" s="20" t="str">
        <f t="shared" ca="1" si="5"/>
        <v>Overdue</v>
      </c>
    </row>
    <row r="177" spans="1:11" x14ac:dyDescent="0.3">
      <c r="A177" s="18" t="s">
        <v>184</v>
      </c>
      <c r="B177" s="18" t="s">
        <v>810</v>
      </c>
      <c r="C177" s="19">
        <v>45241</v>
      </c>
      <c r="D177" s="19">
        <v>45271</v>
      </c>
      <c r="E177" s="17">
        <v>4283.63</v>
      </c>
      <c r="F177" s="20" t="s">
        <v>818</v>
      </c>
      <c r="G177" s="20" t="s">
        <v>821</v>
      </c>
      <c r="H177" s="22">
        <v>45271</v>
      </c>
      <c r="I177" s="20" t="s">
        <v>822</v>
      </c>
      <c r="J177" s="21">
        <f t="shared" ca="1" si="4"/>
        <v>924</v>
      </c>
      <c r="K177" s="20" t="str">
        <f t="shared" ca="1" si="5"/>
        <v>OK</v>
      </c>
    </row>
    <row r="178" spans="1:11" x14ac:dyDescent="0.3">
      <c r="A178" s="18" t="s">
        <v>185</v>
      </c>
      <c r="B178" s="18" t="s">
        <v>809</v>
      </c>
      <c r="C178" s="19">
        <v>45564</v>
      </c>
      <c r="D178" s="19">
        <v>45594</v>
      </c>
      <c r="E178" s="17">
        <v>370.46</v>
      </c>
      <c r="F178" s="20" t="s">
        <v>815</v>
      </c>
      <c r="G178" s="20" t="s">
        <v>821</v>
      </c>
      <c r="H178" s="22">
        <v>45594</v>
      </c>
      <c r="I178" s="20" t="s">
        <v>822</v>
      </c>
      <c r="J178" s="21">
        <f t="shared" ca="1" si="4"/>
        <v>601</v>
      </c>
      <c r="K178" s="20" t="str">
        <f t="shared" ca="1" si="5"/>
        <v>OK</v>
      </c>
    </row>
    <row r="179" spans="1:11" x14ac:dyDescent="0.3">
      <c r="A179" s="18" t="s">
        <v>186</v>
      </c>
      <c r="B179" s="18" t="s">
        <v>812</v>
      </c>
      <c r="C179" s="19">
        <v>45453</v>
      </c>
      <c r="D179" s="19">
        <v>45483</v>
      </c>
      <c r="E179" s="17">
        <v>3313.07</v>
      </c>
      <c r="F179" s="20" t="s">
        <v>814</v>
      </c>
      <c r="G179" s="20" t="s">
        <v>819</v>
      </c>
      <c r="H179" s="20" t="s">
        <v>823</v>
      </c>
      <c r="I179" s="20" t="s">
        <v>822</v>
      </c>
      <c r="J179" s="21">
        <f t="shared" ca="1" si="4"/>
        <v>712</v>
      </c>
      <c r="K179" s="20" t="str">
        <f t="shared" ca="1" si="5"/>
        <v>Overdue</v>
      </c>
    </row>
    <row r="180" spans="1:11" x14ac:dyDescent="0.3">
      <c r="A180" s="18" t="s">
        <v>187</v>
      </c>
      <c r="B180" s="18" t="s">
        <v>811</v>
      </c>
      <c r="C180" s="19">
        <v>45253</v>
      </c>
      <c r="D180" s="19">
        <v>45283</v>
      </c>
      <c r="E180" s="17">
        <v>4616.42</v>
      </c>
      <c r="F180" s="20" t="s">
        <v>817</v>
      </c>
      <c r="G180" s="20" t="s">
        <v>821</v>
      </c>
      <c r="H180" s="22">
        <v>45283</v>
      </c>
      <c r="I180" s="20" t="s">
        <v>822</v>
      </c>
      <c r="J180" s="21">
        <f t="shared" ca="1" si="4"/>
        <v>912</v>
      </c>
      <c r="K180" s="20" t="str">
        <f t="shared" ca="1" si="5"/>
        <v>OK</v>
      </c>
    </row>
    <row r="181" spans="1:11" x14ac:dyDescent="0.3">
      <c r="A181" s="18" t="s">
        <v>188</v>
      </c>
      <c r="B181" s="18" t="s">
        <v>811</v>
      </c>
      <c r="C181" s="19">
        <v>44998</v>
      </c>
      <c r="D181" s="19">
        <v>45028</v>
      </c>
      <c r="E181" s="17">
        <v>1731.08</v>
      </c>
      <c r="F181" s="20" t="s">
        <v>817</v>
      </c>
      <c r="G181" s="20" t="s">
        <v>819</v>
      </c>
      <c r="H181" s="20" t="s">
        <v>823</v>
      </c>
      <c r="I181" s="20" t="s">
        <v>822</v>
      </c>
      <c r="J181" s="21">
        <f t="shared" ca="1" si="4"/>
        <v>1167</v>
      </c>
      <c r="K181" s="20" t="str">
        <f t="shared" ca="1" si="5"/>
        <v>Overdue</v>
      </c>
    </row>
    <row r="182" spans="1:11" x14ac:dyDescent="0.3">
      <c r="A182" s="18" t="s">
        <v>189</v>
      </c>
      <c r="B182" s="18" t="s">
        <v>809</v>
      </c>
      <c r="C182" s="19">
        <v>45693</v>
      </c>
      <c r="D182" s="19">
        <v>45723</v>
      </c>
      <c r="E182" s="17">
        <v>4027.83</v>
      </c>
      <c r="F182" s="20" t="s">
        <v>815</v>
      </c>
      <c r="G182" s="20" t="s">
        <v>820</v>
      </c>
      <c r="H182" s="20" t="s">
        <v>823</v>
      </c>
      <c r="I182" s="20" t="s">
        <v>822</v>
      </c>
      <c r="J182" s="21">
        <f t="shared" ca="1" si="4"/>
        <v>472</v>
      </c>
      <c r="K182" s="20" t="str">
        <f t="shared" ca="1" si="5"/>
        <v>Overdue</v>
      </c>
    </row>
    <row r="183" spans="1:11" x14ac:dyDescent="0.3">
      <c r="A183" s="18" t="s">
        <v>190</v>
      </c>
      <c r="B183" s="18" t="s">
        <v>813</v>
      </c>
      <c r="C183" s="19">
        <v>45498</v>
      </c>
      <c r="D183" s="19">
        <v>45528</v>
      </c>
      <c r="E183" s="17">
        <v>1770.47</v>
      </c>
      <c r="F183" s="20" t="s">
        <v>815</v>
      </c>
      <c r="G183" s="20" t="s">
        <v>821</v>
      </c>
      <c r="H183" s="22">
        <v>45528</v>
      </c>
      <c r="I183" s="20" t="s">
        <v>822</v>
      </c>
      <c r="J183" s="21">
        <f t="shared" ca="1" si="4"/>
        <v>667</v>
      </c>
      <c r="K183" s="20" t="str">
        <f t="shared" ca="1" si="5"/>
        <v>OK</v>
      </c>
    </row>
    <row r="184" spans="1:11" x14ac:dyDescent="0.3">
      <c r="A184" s="18" t="s">
        <v>191</v>
      </c>
      <c r="B184" s="18" t="s">
        <v>810</v>
      </c>
      <c r="C184" s="19">
        <v>45646</v>
      </c>
      <c r="D184" s="19">
        <v>45676</v>
      </c>
      <c r="E184" s="17">
        <v>4140.83</v>
      </c>
      <c r="F184" s="20" t="s">
        <v>814</v>
      </c>
      <c r="G184" s="20" t="s">
        <v>821</v>
      </c>
      <c r="H184" s="22">
        <v>45676</v>
      </c>
      <c r="I184" s="20" t="s">
        <v>822</v>
      </c>
      <c r="J184" s="21">
        <f t="shared" ca="1" si="4"/>
        <v>519</v>
      </c>
      <c r="K184" s="20" t="str">
        <f t="shared" ca="1" si="5"/>
        <v>OK</v>
      </c>
    </row>
    <row r="185" spans="1:11" x14ac:dyDescent="0.3">
      <c r="A185" s="18" t="s">
        <v>192</v>
      </c>
      <c r="B185" s="18" t="s">
        <v>811</v>
      </c>
      <c r="C185" s="19">
        <v>45763</v>
      </c>
      <c r="D185" s="19">
        <v>45793</v>
      </c>
      <c r="E185" s="17">
        <v>606.74</v>
      </c>
      <c r="F185" s="20" t="s">
        <v>814</v>
      </c>
      <c r="G185" s="20" t="s">
        <v>820</v>
      </c>
      <c r="H185" s="20" t="s">
        <v>823</v>
      </c>
      <c r="I185" s="20" t="s">
        <v>822</v>
      </c>
      <c r="J185" s="21">
        <f t="shared" ca="1" si="4"/>
        <v>402</v>
      </c>
      <c r="K185" s="20" t="str">
        <f t="shared" ca="1" si="5"/>
        <v>Overdue</v>
      </c>
    </row>
    <row r="186" spans="1:11" x14ac:dyDescent="0.3">
      <c r="A186" s="18" t="s">
        <v>193</v>
      </c>
      <c r="B186" s="18" t="s">
        <v>813</v>
      </c>
      <c r="C186" s="19">
        <v>44961</v>
      </c>
      <c r="D186" s="19">
        <v>44991</v>
      </c>
      <c r="E186" s="17">
        <v>3488.56</v>
      </c>
      <c r="F186" s="20" t="s">
        <v>816</v>
      </c>
      <c r="G186" s="20" t="s">
        <v>819</v>
      </c>
      <c r="H186" s="20" t="s">
        <v>823</v>
      </c>
      <c r="I186" s="20" t="s">
        <v>822</v>
      </c>
      <c r="J186" s="21">
        <f t="shared" ca="1" si="4"/>
        <v>1204</v>
      </c>
      <c r="K186" s="20" t="str">
        <f t="shared" ca="1" si="5"/>
        <v>Overdue</v>
      </c>
    </row>
    <row r="187" spans="1:11" x14ac:dyDescent="0.3">
      <c r="A187" s="18" t="s">
        <v>194</v>
      </c>
      <c r="B187" s="18" t="s">
        <v>811</v>
      </c>
      <c r="C187" s="19">
        <v>45830</v>
      </c>
      <c r="D187" s="19">
        <v>45860</v>
      </c>
      <c r="E187" s="17">
        <v>816.61</v>
      </c>
      <c r="F187" s="20" t="s">
        <v>815</v>
      </c>
      <c r="G187" s="20" t="s">
        <v>819</v>
      </c>
      <c r="H187" s="20" t="s">
        <v>823</v>
      </c>
      <c r="I187" s="20" t="s">
        <v>822</v>
      </c>
      <c r="J187" s="21">
        <f t="shared" ca="1" si="4"/>
        <v>335</v>
      </c>
      <c r="K187" s="20" t="str">
        <f t="shared" ca="1" si="5"/>
        <v>Overdue</v>
      </c>
    </row>
    <row r="188" spans="1:11" x14ac:dyDescent="0.3">
      <c r="A188" s="18" t="s">
        <v>195</v>
      </c>
      <c r="B188" s="18" t="s">
        <v>809</v>
      </c>
      <c r="C188" s="19">
        <v>45414</v>
      </c>
      <c r="D188" s="19">
        <v>45444</v>
      </c>
      <c r="E188" s="17">
        <v>2178.88</v>
      </c>
      <c r="F188" s="20" t="s">
        <v>816</v>
      </c>
      <c r="G188" s="20" t="s">
        <v>821</v>
      </c>
      <c r="H188" s="22">
        <v>45444</v>
      </c>
      <c r="I188" s="20" t="s">
        <v>822</v>
      </c>
      <c r="J188" s="21">
        <f t="shared" ca="1" si="4"/>
        <v>751</v>
      </c>
      <c r="K188" s="20" t="str">
        <f t="shared" ca="1" si="5"/>
        <v>OK</v>
      </c>
    </row>
    <row r="189" spans="1:11" x14ac:dyDescent="0.3">
      <c r="A189" s="18" t="s">
        <v>196</v>
      </c>
      <c r="B189" s="18" t="s">
        <v>810</v>
      </c>
      <c r="C189" s="19">
        <v>45279</v>
      </c>
      <c r="D189" s="19">
        <v>45309</v>
      </c>
      <c r="E189" s="17">
        <v>4356.53</v>
      </c>
      <c r="F189" s="20" t="s">
        <v>817</v>
      </c>
      <c r="G189" s="20" t="s">
        <v>820</v>
      </c>
      <c r="H189" s="20" t="s">
        <v>823</v>
      </c>
      <c r="I189" s="20" t="s">
        <v>822</v>
      </c>
      <c r="J189" s="21">
        <f t="shared" ca="1" si="4"/>
        <v>886</v>
      </c>
      <c r="K189" s="20" t="str">
        <f t="shared" ca="1" si="5"/>
        <v>Overdue</v>
      </c>
    </row>
    <row r="190" spans="1:11" x14ac:dyDescent="0.3">
      <c r="A190" s="18" t="s">
        <v>197</v>
      </c>
      <c r="B190" s="18" t="s">
        <v>809</v>
      </c>
      <c r="C190" s="19">
        <v>45399</v>
      </c>
      <c r="D190" s="19">
        <v>45429</v>
      </c>
      <c r="E190" s="17">
        <v>2905.63</v>
      </c>
      <c r="F190" s="20" t="s">
        <v>818</v>
      </c>
      <c r="G190" s="20" t="s">
        <v>819</v>
      </c>
      <c r="H190" s="20" t="s">
        <v>823</v>
      </c>
      <c r="I190" s="20" t="s">
        <v>822</v>
      </c>
      <c r="J190" s="21">
        <f t="shared" ca="1" si="4"/>
        <v>766</v>
      </c>
      <c r="K190" s="20" t="str">
        <f t="shared" ca="1" si="5"/>
        <v>Overdue</v>
      </c>
    </row>
    <row r="191" spans="1:11" x14ac:dyDescent="0.3">
      <c r="A191" s="18" t="s">
        <v>198</v>
      </c>
      <c r="B191" s="18" t="s">
        <v>812</v>
      </c>
      <c r="C191" s="19">
        <v>45414</v>
      </c>
      <c r="D191" s="19">
        <v>45444</v>
      </c>
      <c r="E191" s="17">
        <v>940.95</v>
      </c>
      <c r="F191" s="20" t="s">
        <v>815</v>
      </c>
      <c r="G191" s="20" t="s">
        <v>821</v>
      </c>
      <c r="H191" s="22">
        <v>45444</v>
      </c>
      <c r="I191" s="20" t="s">
        <v>822</v>
      </c>
      <c r="J191" s="21">
        <f t="shared" ca="1" si="4"/>
        <v>751</v>
      </c>
      <c r="K191" s="20" t="str">
        <f t="shared" ca="1" si="5"/>
        <v>OK</v>
      </c>
    </row>
    <row r="192" spans="1:11" x14ac:dyDescent="0.3">
      <c r="A192" s="18" t="s">
        <v>199</v>
      </c>
      <c r="B192" s="18" t="s">
        <v>811</v>
      </c>
      <c r="C192" s="19">
        <v>44974</v>
      </c>
      <c r="D192" s="19">
        <v>45004</v>
      </c>
      <c r="E192" s="17">
        <v>4744.18</v>
      </c>
      <c r="F192" s="20" t="s">
        <v>818</v>
      </c>
      <c r="G192" s="20" t="s">
        <v>820</v>
      </c>
      <c r="H192" s="20" t="s">
        <v>823</v>
      </c>
      <c r="I192" s="20" t="s">
        <v>822</v>
      </c>
      <c r="J192" s="21">
        <f t="shared" ca="1" si="4"/>
        <v>1191</v>
      </c>
      <c r="K192" s="20" t="str">
        <f t="shared" ca="1" si="5"/>
        <v>Overdue</v>
      </c>
    </row>
    <row r="193" spans="1:11" x14ac:dyDescent="0.3">
      <c r="A193" s="18" t="s">
        <v>200</v>
      </c>
      <c r="B193" s="18" t="s">
        <v>812</v>
      </c>
      <c r="C193" s="19">
        <v>45710</v>
      </c>
      <c r="D193" s="19">
        <v>45740</v>
      </c>
      <c r="E193" s="17">
        <v>147.49</v>
      </c>
      <c r="F193" s="20" t="s">
        <v>818</v>
      </c>
      <c r="G193" s="20" t="s">
        <v>821</v>
      </c>
      <c r="H193" s="22">
        <v>45740</v>
      </c>
      <c r="I193" s="20" t="s">
        <v>822</v>
      </c>
      <c r="J193" s="21">
        <f t="shared" ca="1" si="4"/>
        <v>455</v>
      </c>
      <c r="K193" s="20" t="str">
        <f t="shared" ca="1" si="5"/>
        <v>OK</v>
      </c>
    </row>
    <row r="194" spans="1:11" x14ac:dyDescent="0.3">
      <c r="A194" s="18" t="s">
        <v>201</v>
      </c>
      <c r="B194" s="18" t="s">
        <v>813</v>
      </c>
      <c r="C194" s="19">
        <v>45817</v>
      </c>
      <c r="D194" s="19">
        <v>45847</v>
      </c>
      <c r="E194" s="17">
        <v>495.23</v>
      </c>
      <c r="F194" s="20" t="s">
        <v>815</v>
      </c>
      <c r="G194" s="20" t="s">
        <v>820</v>
      </c>
      <c r="H194" s="20" t="s">
        <v>823</v>
      </c>
      <c r="I194" s="20" t="s">
        <v>822</v>
      </c>
      <c r="J194" s="21">
        <f t="shared" ref="J194:J257" ca="1" si="6">TODAY()-D194</f>
        <v>348</v>
      </c>
      <c r="K194" s="20" t="str">
        <f t="shared" ref="K194:K257" ca="1" si="7">IF(AND(TODAY()&gt;D194,G194&lt;&gt;"Paid"),"Overdue","OK")</f>
        <v>Overdue</v>
      </c>
    </row>
    <row r="195" spans="1:11" x14ac:dyDescent="0.3">
      <c r="A195" s="18" t="s">
        <v>202</v>
      </c>
      <c r="B195" s="18" t="s">
        <v>812</v>
      </c>
      <c r="C195" s="19">
        <v>45076</v>
      </c>
      <c r="D195" s="19">
        <v>45106</v>
      </c>
      <c r="E195" s="17">
        <v>2497.87</v>
      </c>
      <c r="F195" s="20" t="s">
        <v>816</v>
      </c>
      <c r="G195" s="20" t="s">
        <v>820</v>
      </c>
      <c r="H195" s="20" t="s">
        <v>823</v>
      </c>
      <c r="I195" s="20" t="s">
        <v>822</v>
      </c>
      <c r="J195" s="21">
        <f t="shared" ca="1" si="6"/>
        <v>1089</v>
      </c>
      <c r="K195" s="20" t="str">
        <f t="shared" ca="1" si="7"/>
        <v>Overdue</v>
      </c>
    </row>
    <row r="196" spans="1:11" x14ac:dyDescent="0.3">
      <c r="A196" s="18" t="s">
        <v>203</v>
      </c>
      <c r="B196" s="18" t="s">
        <v>813</v>
      </c>
      <c r="C196" s="19">
        <v>45454</v>
      </c>
      <c r="D196" s="19">
        <v>45484</v>
      </c>
      <c r="E196" s="17">
        <v>1407.52</v>
      </c>
      <c r="F196" s="20" t="s">
        <v>815</v>
      </c>
      <c r="G196" s="20" t="s">
        <v>819</v>
      </c>
      <c r="H196" s="20" t="s">
        <v>823</v>
      </c>
      <c r="I196" s="20" t="s">
        <v>822</v>
      </c>
      <c r="J196" s="21">
        <f t="shared" ca="1" si="6"/>
        <v>711</v>
      </c>
      <c r="K196" s="20" t="str">
        <f t="shared" ca="1" si="7"/>
        <v>Overdue</v>
      </c>
    </row>
    <row r="197" spans="1:11" x14ac:dyDescent="0.3">
      <c r="A197" s="18" t="s">
        <v>204</v>
      </c>
      <c r="B197" s="18" t="s">
        <v>813</v>
      </c>
      <c r="C197" s="19">
        <v>45723</v>
      </c>
      <c r="D197" s="19">
        <v>45753</v>
      </c>
      <c r="E197" s="17">
        <v>2632.28</v>
      </c>
      <c r="F197" s="20" t="s">
        <v>818</v>
      </c>
      <c r="G197" s="20" t="s">
        <v>820</v>
      </c>
      <c r="H197" s="20" t="s">
        <v>823</v>
      </c>
      <c r="I197" s="20" t="s">
        <v>822</v>
      </c>
      <c r="J197" s="21">
        <f t="shared" ca="1" si="6"/>
        <v>442</v>
      </c>
      <c r="K197" s="20" t="str">
        <f t="shared" ca="1" si="7"/>
        <v>Overdue</v>
      </c>
    </row>
    <row r="198" spans="1:11" x14ac:dyDescent="0.3">
      <c r="A198" s="18" t="s">
        <v>205</v>
      </c>
      <c r="B198" s="18" t="s">
        <v>810</v>
      </c>
      <c r="C198" s="19">
        <v>45384</v>
      </c>
      <c r="D198" s="19">
        <v>45414</v>
      </c>
      <c r="E198" s="17">
        <v>3255.92</v>
      </c>
      <c r="F198" s="20" t="s">
        <v>816</v>
      </c>
      <c r="G198" s="20" t="s">
        <v>819</v>
      </c>
      <c r="H198" s="20" t="s">
        <v>823</v>
      </c>
      <c r="I198" s="20" t="s">
        <v>822</v>
      </c>
      <c r="J198" s="21">
        <f t="shared" ca="1" si="6"/>
        <v>781</v>
      </c>
      <c r="K198" s="20" t="str">
        <f t="shared" ca="1" si="7"/>
        <v>Overdue</v>
      </c>
    </row>
    <row r="199" spans="1:11" x14ac:dyDescent="0.3">
      <c r="A199" s="18" t="s">
        <v>206</v>
      </c>
      <c r="B199" s="18" t="s">
        <v>809</v>
      </c>
      <c r="C199" s="19">
        <v>45190</v>
      </c>
      <c r="D199" s="19">
        <v>45220</v>
      </c>
      <c r="E199" s="17">
        <v>392.7</v>
      </c>
      <c r="F199" s="20" t="s">
        <v>817</v>
      </c>
      <c r="G199" s="20" t="s">
        <v>821</v>
      </c>
      <c r="H199" s="22">
        <v>45220</v>
      </c>
      <c r="I199" s="20" t="s">
        <v>822</v>
      </c>
      <c r="J199" s="21">
        <f t="shared" ca="1" si="6"/>
        <v>975</v>
      </c>
      <c r="K199" s="20" t="str">
        <f t="shared" ca="1" si="7"/>
        <v>OK</v>
      </c>
    </row>
    <row r="200" spans="1:11" x14ac:dyDescent="0.3">
      <c r="A200" s="18" t="s">
        <v>207</v>
      </c>
      <c r="B200" s="18" t="s">
        <v>810</v>
      </c>
      <c r="C200" s="19">
        <v>45388</v>
      </c>
      <c r="D200" s="19">
        <v>45418</v>
      </c>
      <c r="E200" s="17">
        <v>4366.6499999999996</v>
      </c>
      <c r="F200" s="20" t="s">
        <v>817</v>
      </c>
      <c r="G200" s="20" t="s">
        <v>820</v>
      </c>
      <c r="H200" s="20" t="s">
        <v>823</v>
      </c>
      <c r="I200" s="20" t="s">
        <v>822</v>
      </c>
      <c r="J200" s="21">
        <f t="shared" ca="1" si="6"/>
        <v>777</v>
      </c>
      <c r="K200" s="20" t="str">
        <f t="shared" ca="1" si="7"/>
        <v>Overdue</v>
      </c>
    </row>
    <row r="201" spans="1:11" x14ac:dyDescent="0.3">
      <c r="A201" s="18" t="s">
        <v>208</v>
      </c>
      <c r="B201" s="18" t="s">
        <v>813</v>
      </c>
      <c r="C201" s="19">
        <v>45372</v>
      </c>
      <c r="D201" s="19">
        <v>45402</v>
      </c>
      <c r="E201" s="17">
        <v>1348.94</v>
      </c>
      <c r="F201" s="20" t="s">
        <v>814</v>
      </c>
      <c r="G201" s="20" t="s">
        <v>821</v>
      </c>
      <c r="H201" s="22">
        <v>45402</v>
      </c>
      <c r="I201" s="20" t="s">
        <v>822</v>
      </c>
      <c r="J201" s="21">
        <f t="shared" ca="1" si="6"/>
        <v>793</v>
      </c>
      <c r="K201" s="20" t="str">
        <f t="shared" ca="1" si="7"/>
        <v>OK</v>
      </c>
    </row>
    <row r="202" spans="1:11" x14ac:dyDescent="0.3">
      <c r="A202" s="18" t="s">
        <v>209</v>
      </c>
      <c r="B202" s="18" t="s">
        <v>812</v>
      </c>
      <c r="C202" s="19">
        <v>45837</v>
      </c>
      <c r="D202" s="19">
        <v>45867</v>
      </c>
      <c r="E202" s="17">
        <v>4373.5200000000004</v>
      </c>
      <c r="F202" s="20" t="s">
        <v>816</v>
      </c>
      <c r="G202" s="20" t="s">
        <v>819</v>
      </c>
      <c r="H202" s="20" t="s">
        <v>823</v>
      </c>
      <c r="I202" s="20" t="s">
        <v>822</v>
      </c>
      <c r="J202" s="21">
        <f t="shared" ca="1" si="6"/>
        <v>328</v>
      </c>
      <c r="K202" s="20" t="str">
        <f t="shared" ca="1" si="7"/>
        <v>Overdue</v>
      </c>
    </row>
    <row r="203" spans="1:11" x14ac:dyDescent="0.3">
      <c r="A203" s="18" t="s">
        <v>210</v>
      </c>
      <c r="B203" s="18" t="s">
        <v>812</v>
      </c>
      <c r="C203" s="19">
        <v>45232</v>
      </c>
      <c r="D203" s="19">
        <v>45262</v>
      </c>
      <c r="E203" s="17">
        <v>3414.97</v>
      </c>
      <c r="F203" s="20" t="s">
        <v>817</v>
      </c>
      <c r="G203" s="20" t="s">
        <v>821</v>
      </c>
      <c r="H203" s="22">
        <v>45262</v>
      </c>
      <c r="I203" s="20" t="s">
        <v>822</v>
      </c>
      <c r="J203" s="21">
        <f t="shared" ca="1" si="6"/>
        <v>933</v>
      </c>
      <c r="K203" s="20" t="str">
        <f t="shared" ca="1" si="7"/>
        <v>OK</v>
      </c>
    </row>
    <row r="204" spans="1:11" x14ac:dyDescent="0.3">
      <c r="A204" s="18" t="s">
        <v>211</v>
      </c>
      <c r="B204" s="18" t="s">
        <v>812</v>
      </c>
      <c r="C204" s="19">
        <v>45665</v>
      </c>
      <c r="D204" s="19">
        <v>45695</v>
      </c>
      <c r="E204" s="17">
        <v>1646.53</v>
      </c>
      <c r="F204" s="20" t="s">
        <v>815</v>
      </c>
      <c r="G204" s="20" t="s">
        <v>821</v>
      </c>
      <c r="H204" s="22">
        <v>45695</v>
      </c>
      <c r="I204" s="20" t="s">
        <v>822</v>
      </c>
      <c r="J204" s="21">
        <f t="shared" ca="1" si="6"/>
        <v>500</v>
      </c>
      <c r="K204" s="20" t="str">
        <f t="shared" ca="1" si="7"/>
        <v>OK</v>
      </c>
    </row>
    <row r="205" spans="1:11" x14ac:dyDescent="0.3">
      <c r="A205" s="18" t="s">
        <v>212</v>
      </c>
      <c r="B205" s="18" t="s">
        <v>810</v>
      </c>
      <c r="C205" s="19">
        <v>45727</v>
      </c>
      <c r="D205" s="19">
        <v>45757</v>
      </c>
      <c r="E205" s="17">
        <v>2688.88</v>
      </c>
      <c r="F205" s="20" t="s">
        <v>814</v>
      </c>
      <c r="G205" s="20" t="s">
        <v>819</v>
      </c>
      <c r="H205" s="20" t="s">
        <v>823</v>
      </c>
      <c r="I205" s="20" t="s">
        <v>822</v>
      </c>
      <c r="J205" s="21">
        <f t="shared" ca="1" si="6"/>
        <v>438</v>
      </c>
      <c r="K205" s="20" t="str">
        <f t="shared" ca="1" si="7"/>
        <v>Overdue</v>
      </c>
    </row>
    <row r="206" spans="1:11" x14ac:dyDescent="0.3">
      <c r="A206" s="18" t="s">
        <v>213</v>
      </c>
      <c r="B206" s="18" t="s">
        <v>811</v>
      </c>
      <c r="C206" s="19">
        <v>44933</v>
      </c>
      <c r="D206" s="19">
        <v>44963</v>
      </c>
      <c r="E206" s="17">
        <v>2187.09</v>
      </c>
      <c r="F206" s="20" t="s">
        <v>818</v>
      </c>
      <c r="G206" s="20" t="s">
        <v>820</v>
      </c>
      <c r="H206" s="20" t="s">
        <v>823</v>
      </c>
      <c r="I206" s="20" t="s">
        <v>822</v>
      </c>
      <c r="J206" s="21">
        <f t="shared" ca="1" si="6"/>
        <v>1232</v>
      </c>
      <c r="K206" s="20" t="str">
        <f t="shared" ca="1" si="7"/>
        <v>Overdue</v>
      </c>
    </row>
    <row r="207" spans="1:11" x14ac:dyDescent="0.3">
      <c r="A207" s="18" t="s">
        <v>214</v>
      </c>
      <c r="B207" s="18" t="s">
        <v>813</v>
      </c>
      <c r="C207" s="19">
        <v>45805</v>
      </c>
      <c r="D207" s="19">
        <v>45835</v>
      </c>
      <c r="E207" s="17">
        <v>3171.13</v>
      </c>
      <c r="F207" s="20" t="s">
        <v>817</v>
      </c>
      <c r="G207" s="20" t="s">
        <v>821</v>
      </c>
      <c r="H207" s="22">
        <v>45835</v>
      </c>
      <c r="I207" s="20" t="s">
        <v>822</v>
      </c>
      <c r="J207" s="21">
        <f t="shared" ca="1" si="6"/>
        <v>360</v>
      </c>
      <c r="K207" s="20" t="str">
        <f t="shared" ca="1" si="7"/>
        <v>OK</v>
      </c>
    </row>
    <row r="208" spans="1:11" x14ac:dyDescent="0.3">
      <c r="A208" s="18" t="s">
        <v>215</v>
      </c>
      <c r="B208" s="18" t="s">
        <v>809</v>
      </c>
      <c r="C208" s="19">
        <v>45437</v>
      </c>
      <c r="D208" s="19">
        <v>45467</v>
      </c>
      <c r="E208" s="17">
        <v>2235.4699999999998</v>
      </c>
      <c r="F208" s="20" t="s">
        <v>814</v>
      </c>
      <c r="G208" s="20" t="s">
        <v>821</v>
      </c>
      <c r="H208" s="22">
        <v>45467</v>
      </c>
      <c r="I208" s="20" t="s">
        <v>822</v>
      </c>
      <c r="J208" s="21">
        <f t="shared" ca="1" si="6"/>
        <v>728</v>
      </c>
      <c r="K208" s="20" t="str">
        <f t="shared" ca="1" si="7"/>
        <v>OK</v>
      </c>
    </row>
    <row r="209" spans="1:11" x14ac:dyDescent="0.3">
      <c r="A209" s="18" t="s">
        <v>216</v>
      </c>
      <c r="B209" s="18" t="s">
        <v>809</v>
      </c>
      <c r="C209" s="19">
        <v>45445</v>
      </c>
      <c r="D209" s="19">
        <v>45475</v>
      </c>
      <c r="E209" s="17">
        <v>4392.95</v>
      </c>
      <c r="F209" s="20" t="s">
        <v>817</v>
      </c>
      <c r="G209" s="20" t="s">
        <v>821</v>
      </c>
      <c r="H209" s="22">
        <v>45475</v>
      </c>
      <c r="I209" s="20" t="s">
        <v>822</v>
      </c>
      <c r="J209" s="21">
        <f t="shared" ca="1" si="6"/>
        <v>720</v>
      </c>
      <c r="K209" s="20" t="str">
        <f t="shared" ca="1" si="7"/>
        <v>OK</v>
      </c>
    </row>
    <row r="210" spans="1:11" x14ac:dyDescent="0.3">
      <c r="A210" s="18" t="s">
        <v>217</v>
      </c>
      <c r="B210" s="18" t="s">
        <v>812</v>
      </c>
      <c r="C210" s="19">
        <v>45204</v>
      </c>
      <c r="D210" s="19">
        <v>45234</v>
      </c>
      <c r="E210" s="17">
        <v>765.04</v>
      </c>
      <c r="F210" s="20" t="s">
        <v>814</v>
      </c>
      <c r="G210" s="20" t="s">
        <v>821</v>
      </c>
      <c r="H210" s="22">
        <v>45234</v>
      </c>
      <c r="I210" s="20" t="s">
        <v>822</v>
      </c>
      <c r="J210" s="21">
        <f t="shared" ca="1" si="6"/>
        <v>961</v>
      </c>
      <c r="K210" s="20" t="str">
        <f t="shared" ca="1" si="7"/>
        <v>OK</v>
      </c>
    </row>
    <row r="211" spans="1:11" x14ac:dyDescent="0.3">
      <c r="A211" s="18" t="s">
        <v>218</v>
      </c>
      <c r="B211" s="18" t="s">
        <v>809</v>
      </c>
      <c r="C211" s="19">
        <v>45392</v>
      </c>
      <c r="D211" s="19">
        <v>45422</v>
      </c>
      <c r="E211" s="17">
        <v>4435.17</v>
      </c>
      <c r="F211" s="20" t="s">
        <v>817</v>
      </c>
      <c r="G211" s="20" t="s">
        <v>819</v>
      </c>
      <c r="H211" s="20" t="s">
        <v>823</v>
      </c>
      <c r="I211" s="20" t="s">
        <v>822</v>
      </c>
      <c r="J211" s="21">
        <f t="shared" ca="1" si="6"/>
        <v>773</v>
      </c>
      <c r="K211" s="20" t="str">
        <f t="shared" ca="1" si="7"/>
        <v>Overdue</v>
      </c>
    </row>
    <row r="212" spans="1:11" x14ac:dyDescent="0.3">
      <c r="A212" s="18" t="s">
        <v>219</v>
      </c>
      <c r="B212" s="18" t="s">
        <v>809</v>
      </c>
      <c r="C212" s="19">
        <v>44948</v>
      </c>
      <c r="D212" s="19">
        <v>44978</v>
      </c>
      <c r="E212" s="17">
        <v>2626.85</v>
      </c>
      <c r="F212" s="20" t="s">
        <v>815</v>
      </c>
      <c r="G212" s="20" t="s">
        <v>819</v>
      </c>
      <c r="H212" s="20" t="s">
        <v>823</v>
      </c>
      <c r="I212" s="20" t="s">
        <v>822</v>
      </c>
      <c r="J212" s="21">
        <f t="shared" ca="1" si="6"/>
        <v>1217</v>
      </c>
      <c r="K212" s="20" t="str">
        <f t="shared" ca="1" si="7"/>
        <v>Overdue</v>
      </c>
    </row>
    <row r="213" spans="1:11" x14ac:dyDescent="0.3">
      <c r="A213" s="18" t="s">
        <v>220</v>
      </c>
      <c r="B213" s="18" t="s">
        <v>809</v>
      </c>
      <c r="C213" s="19">
        <v>45460</v>
      </c>
      <c r="D213" s="19">
        <v>45490</v>
      </c>
      <c r="E213" s="17">
        <v>4803.24</v>
      </c>
      <c r="F213" s="20" t="s">
        <v>817</v>
      </c>
      <c r="G213" s="20" t="s">
        <v>820</v>
      </c>
      <c r="H213" s="20" t="s">
        <v>823</v>
      </c>
      <c r="I213" s="20" t="s">
        <v>822</v>
      </c>
      <c r="J213" s="21">
        <f t="shared" ca="1" si="6"/>
        <v>705</v>
      </c>
      <c r="K213" s="20" t="str">
        <f t="shared" ca="1" si="7"/>
        <v>Overdue</v>
      </c>
    </row>
    <row r="214" spans="1:11" x14ac:dyDescent="0.3">
      <c r="A214" s="18" t="s">
        <v>221</v>
      </c>
      <c r="B214" s="18" t="s">
        <v>810</v>
      </c>
      <c r="C214" s="19">
        <v>45496</v>
      </c>
      <c r="D214" s="19">
        <v>45526</v>
      </c>
      <c r="E214" s="17">
        <v>3007.22</v>
      </c>
      <c r="F214" s="20" t="s">
        <v>817</v>
      </c>
      <c r="G214" s="20" t="s">
        <v>821</v>
      </c>
      <c r="H214" s="22">
        <v>45526</v>
      </c>
      <c r="I214" s="20" t="s">
        <v>822</v>
      </c>
      <c r="J214" s="21">
        <f t="shared" ca="1" si="6"/>
        <v>669</v>
      </c>
      <c r="K214" s="20" t="str">
        <f t="shared" ca="1" si="7"/>
        <v>OK</v>
      </c>
    </row>
    <row r="215" spans="1:11" x14ac:dyDescent="0.3">
      <c r="A215" s="18" t="s">
        <v>222</v>
      </c>
      <c r="B215" s="18" t="s">
        <v>809</v>
      </c>
      <c r="C215" s="19">
        <v>45704</v>
      </c>
      <c r="D215" s="19">
        <v>45734</v>
      </c>
      <c r="E215" s="17">
        <v>4929.75</v>
      </c>
      <c r="F215" s="20" t="s">
        <v>815</v>
      </c>
      <c r="G215" s="20" t="s">
        <v>819</v>
      </c>
      <c r="H215" s="20" t="s">
        <v>823</v>
      </c>
      <c r="I215" s="20" t="s">
        <v>822</v>
      </c>
      <c r="J215" s="21">
        <f t="shared" ca="1" si="6"/>
        <v>461</v>
      </c>
      <c r="K215" s="20" t="str">
        <f t="shared" ca="1" si="7"/>
        <v>Overdue</v>
      </c>
    </row>
    <row r="216" spans="1:11" x14ac:dyDescent="0.3">
      <c r="A216" s="18" t="s">
        <v>223</v>
      </c>
      <c r="B216" s="18" t="s">
        <v>810</v>
      </c>
      <c r="C216" s="19">
        <v>45449</v>
      </c>
      <c r="D216" s="19">
        <v>45479</v>
      </c>
      <c r="E216" s="17">
        <v>1536.2</v>
      </c>
      <c r="F216" s="20" t="s">
        <v>814</v>
      </c>
      <c r="G216" s="20" t="s">
        <v>820</v>
      </c>
      <c r="H216" s="20" t="s">
        <v>823</v>
      </c>
      <c r="I216" s="20" t="s">
        <v>822</v>
      </c>
      <c r="J216" s="21">
        <f t="shared" ca="1" si="6"/>
        <v>716</v>
      </c>
      <c r="K216" s="20" t="str">
        <f t="shared" ca="1" si="7"/>
        <v>Overdue</v>
      </c>
    </row>
    <row r="217" spans="1:11" x14ac:dyDescent="0.3">
      <c r="A217" s="18" t="s">
        <v>224</v>
      </c>
      <c r="B217" s="18" t="s">
        <v>810</v>
      </c>
      <c r="C217" s="19">
        <v>45491</v>
      </c>
      <c r="D217" s="19">
        <v>45521</v>
      </c>
      <c r="E217" s="17">
        <v>2978.71</v>
      </c>
      <c r="F217" s="20" t="s">
        <v>816</v>
      </c>
      <c r="G217" s="20" t="s">
        <v>820</v>
      </c>
      <c r="H217" s="20" t="s">
        <v>823</v>
      </c>
      <c r="I217" s="20" t="s">
        <v>822</v>
      </c>
      <c r="J217" s="21">
        <f t="shared" ca="1" si="6"/>
        <v>674</v>
      </c>
      <c r="K217" s="20" t="str">
        <f t="shared" ca="1" si="7"/>
        <v>Overdue</v>
      </c>
    </row>
    <row r="218" spans="1:11" x14ac:dyDescent="0.3">
      <c r="A218" s="18" t="s">
        <v>225</v>
      </c>
      <c r="B218" s="18" t="s">
        <v>812</v>
      </c>
      <c r="C218" s="19">
        <v>45326</v>
      </c>
      <c r="D218" s="19">
        <v>45356</v>
      </c>
      <c r="E218" s="17">
        <v>915.17</v>
      </c>
      <c r="F218" s="20" t="s">
        <v>816</v>
      </c>
      <c r="G218" s="20" t="s">
        <v>821</v>
      </c>
      <c r="H218" s="22">
        <v>45356</v>
      </c>
      <c r="I218" s="20" t="s">
        <v>822</v>
      </c>
      <c r="J218" s="21">
        <f t="shared" ca="1" si="6"/>
        <v>839</v>
      </c>
      <c r="K218" s="20" t="str">
        <f t="shared" ca="1" si="7"/>
        <v>OK</v>
      </c>
    </row>
    <row r="219" spans="1:11" x14ac:dyDescent="0.3">
      <c r="A219" s="18" t="s">
        <v>226</v>
      </c>
      <c r="B219" s="18" t="s">
        <v>810</v>
      </c>
      <c r="C219" s="19">
        <v>45109</v>
      </c>
      <c r="D219" s="19">
        <v>45139</v>
      </c>
      <c r="E219" s="17">
        <v>3188.52</v>
      </c>
      <c r="F219" s="20" t="s">
        <v>816</v>
      </c>
      <c r="G219" s="20" t="s">
        <v>820</v>
      </c>
      <c r="H219" s="20" t="s">
        <v>823</v>
      </c>
      <c r="I219" s="20" t="s">
        <v>822</v>
      </c>
      <c r="J219" s="21">
        <f t="shared" ca="1" si="6"/>
        <v>1056</v>
      </c>
      <c r="K219" s="20" t="str">
        <f t="shared" ca="1" si="7"/>
        <v>Overdue</v>
      </c>
    </row>
    <row r="220" spans="1:11" x14ac:dyDescent="0.3">
      <c r="A220" s="18" t="s">
        <v>227</v>
      </c>
      <c r="B220" s="18" t="s">
        <v>811</v>
      </c>
      <c r="C220" s="19">
        <v>45432</v>
      </c>
      <c r="D220" s="19">
        <v>45462</v>
      </c>
      <c r="E220" s="17">
        <v>2307.79</v>
      </c>
      <c r="F220" s="20" t="s">
        <v>817</v>
      </c>
      <c r="G220" s="20" t="s">
        <v>820</v>
      </c>
      <c r="H220" s="20" t="s">
        <v>823</v>
      </c>
      <c r="I220" s="20" t="s">
        <v>822</v>
      </c>
      <c r="J220" s="21">
        <f t="shared" ca="1" si="6"/>
        <v>733</v>
      </c>
      <c r="K220" s="20" t="str">
        <f t="shared" ca="1" si="7"/>
        <v>Overdue</v>
      </c>
    </row>
    <row r="221" spans="1:11" x14ac:dyDescent="0.3">
      <c r="A221" s="18" t="s">
        <v>228</v>
      </c>
      <c r="B221" s="18" t="s">
        <v>811</v>
      </c>
      <c r="C221" s="19">
        <v>45251</v>
      </c>
      <c r="D221" s="19">
        <v>45281</v>
      </c>
      <c r="E221" s="17">
        <v>2903.71</v>
      </c>
      <c r="F221" s="20" t="s">
        <v>814</v>
      </c>
      <c r="G221" s="20" t="s">
        <v>820</v>
      </c>
      <c r="H221" s="20" t="s">
        <v>823</v>
      </c>
      <c r="I221" s="20" t="s">
        <v>822</v>
      </c>
      <c r="J221" s="21">
        <f t="shared" ca="1" si="6"/>
        <v>914</v>
      </c>
      <c r="K221" s="20" t="str">
        <f t="shared" ca="1" si="7"/>
        <v>Overdue</v>
      </c>
    </row>
    <row r="222" spans="1:11" x14ac:dyDescent="0.3">
      <c r="A222" s="18" t="s">
        <v>229</v>
      </c>
      <c r="B222" s="18" t="s">
        <v>811</v>
      </c>
      <c r="C222" s="19">
        <v>45432</v>
      </c>
      <c r="D222" s="19">
        <v>45462</v>
      </c>
      <c r="E222" s="17">
        <v>2565.02</v>
      </c>
      <c r="F222" s="20" t="s">
        <v>817</v>
      </c>
      <c r="G222" s="20" t="s">
        <v>820</v>
      </c>
      <c r="H222" s="20" t="s">
        <v>823</v>
      </c>
      <c r="I222" s="20" t="s">
        <v>822</v>
      </c>
      <c r="J222" s="21">
        <f t="shared" ca="1" si="6"/>
        <v>733</v>
      </c>
      <c r="K222" s="20" t="str">
        <f t="shared" ca="1" si="7"/>
        <v>Overdue</v>
      </c>
    </row>
    <row r="223" spans="1:11" x14ac:dyDescent="0.3">
      <c r="A223" s="18" t="s">
        <v>230</v>
      </c>
      <c r="B223" s="18" t="s">
        <v>810</v>
      </c>
      <c r="C223" s="19">
        <v>45790</v>
      </c>
      <c r="D223" s="19">
        <v>45820</v>
      </c>
      <c r="E223" s="17">
        <v>2121.21</v>
      </c>
      <c r="F223" s="20" t="s">
        <v>817</v>
      </c>
      <c r="G223" s="20" t="s">
        <v>819</v>
      </c>
      <c r="H223" s="20" t="s">
        <v>823</v>
      </c>
      <c r="I223" s="20" t="s">
        <v>822</v>
      </c>
      <c r="J223" s="21">
        <f t="shared" ca="1" si="6"/>
        <v>375</v>
      </c>
      <c r="K223" s="20" t="str">
        <f t="shared" ca="1" si="7"/>
        <v>Overdue</v>
      </c>
    </row>
    <row r="224" spans="1:11" x14ac:dyDescent="0.3">
      <c r="A224" s="18" t="s">
        <v>231</v>
      </c>
      <c r="B224" s="18" t="s">
        <v>810</v>
      </c>
      <c r="C224" s="19">
        <v>45748</v>
      </c>
      <c r="D224" s="19">
        <v>45778</v>
      </c>
      <c r="E224" s="17">
        <v>1273.9000000000001</v>
      </c>
      <c r="F224" s="20" t="s">
        <v>814</v>
      </c>
      <c r="G224" s="20" t="s">
        <v>819</v>
      </c>
      <c r="H224" s="20" t="s">
        <v>823</v>
      </c>
      <c r="I224" s="20" t="s">
        <v>822</v>
      </c>
      <c r="J224" s="21">
        <f t="shared" ca="1" si="6"/>
        <v>417</v>
      </c>
      <c r="K224" s="20" t="str">
        <f t="shared" ca="1" si="7"/>
        <v>Overdue</v>
      </c>
    </row>
    <row r="225" spans="1:11" x14ac:dyDescent="0.3">
      <c r="A225" s="18" t="s">
        <v>232</v>
      </c>
      <c r="B225" s="18" t="s">
        <v>810</v>
      </c>
      <c r="C225" s="19">
        <v>45711</v>
      </c>
      <c r="D225" s="19">
        <v>45741</v>
      </c>
      <c r="E225" s="17">
        <v>3975.5</v>
      </c>
      <c r="F225" s="20" t="s">
        <v>818</v>
      </c>
      <c r="G225" s="20" t="s">
        <v>819</v>
      </c>
      <c r="H225" s="20" t="s">
        <v>823</v>
      </c>
      <c r="I225" s="20" t="s">
        <v>822</v>
      </c>
      <c r="J225" s="21">
        <f t="shared" ca="1" si="6"/>
        <v>454</v>
      </c>
      <c r="K225" s="20" t="str">
        <f t="shared" ca="1" si="7"/>
        <v>Overdue</v>
      </c>
    </row>
    <row r="226" spans="1:11" x14ac:dyDescent="0.3">
      <c r="A226" s="18" t="s">
        <v>233</v>
      </c>
      <c r="B226" s="18" t="s">
        <v>809</v>
      </c>
      <c r="C226" s="19">
        <v>45588</v>
      </c>
      <c r="D226" s="19">
        <v>45618</v>
      </c>
      <c r="E226" s="17">
        <v>2421.44</v>
      </c>
      <c r="F226" s="20" t="s">
        <v>818</v>
      </c>
      <c r="G226" s="20" t="s">
        <v>819</v>
      </c>
      <c r="H226" s="20" t="s">
        <v>823</v>
      </c>
      <c r="I226" s="20" t="s">
        <v>822</v>
      </c>
      <c r="J226" s="21">
        <f t="shared" ca="1" si="6"/>
        <v>577</v>
      </c>
      <c r="K226" s="20" t="str">
        <f t="shared" ca="1" si="7"/>
        <v>Overdue</v>
      </c>
    </row>
    <row r="227" spans="1:11" x14ac:dyDescent="0.3">
      <c r="A227" s="18" t="s">
        <v>234</v>
      </c>
      <c r="B227" s="18" t="s">
        <v>809</v>
      </c>
      <c r="C227" s="19">
        <v>45688</v>
      </c>
      <c r="D227" s="19">
        <v>45718</v>
      </c>
      <c r="E227" s="17">
        <v>2458.0100000000002</v>
      </c>
      <c r="F227" s="20" t="s">
        <v>814</v>
      </c>
      <c r="G227" s="20" t="s">
        <v>819</v>
      </c>
      <c r="H227" s="20" t="s">
        <v>823</v>
      </c>
      <c r="I227" s="20" t="s">
        <v>822</v>
      </c>
      <c r="J227" s="21">
        <f t="shared" ca="1" si="6"/>
        <v>477</v>
      </c>
      <c r="K227" s="20" t="str">
        <f t="shared" ca="1" si="7"/>
        <v>Overdue</v>
      </c>
    </row>
    <row r="228" spans="1:11" x14ac:dyDescent="0.3">
      <c r="A228" s="18" t="s">
        <v>235</v>
      </c>
      <c r="B228" s="18" t="s">
        <v>809</v>
      </c>
      <c r="C228" s="19">
        <v>45136</v>
      </c>
      <c r="D228" s="19">
        <v>45166</v>
      </c>
      <c r="E228" s="17">
        <v>2854.39</v>
      </c>
      <c r="F228" s="20" t="s">
        <v>814</v>
      </c>
      <c r="G228" s="20" t="s">
        <v>821</v>
      </c>
      <c r="H228" s="22">
        <v>45166</v>
      </c>
      <c r="I228" s="20" t="s">
        <v>822</v>
      </c>
      <c r="J228" s="21">
        <f t="shared" ca="1" si="6"/>
        <v>1029</v>
      </c>
      <c r="K228" s="20" t="str">
        <f t="shared" ca="1" si="7"/>
        <v>OK</v>
      </c>
    </row>
    <row r="229" spans="1:11" x14ac:dyDescent="0.3">
      <c r="A229" s="18" t="s">
        <v>236</v>
      </c>
      <c r="B229" s="18" t="s">
        <v>810</v>
      </c>
      <c r="C229" s="19">
        <v>45319</v>
      </c>
      <c r="D229" s="19">
        <v>45349</v>
      </c>
      <c r="E229" s="17">
        <v>2918.95</v>
      </c>
      <c r="F229" s="20" t="s">
        <v>814</v>
      </c>
      <c r="G229" s="20" t="s">
        <v>819</v>
      </c>
      <c r="H229" s="20" t="s">
        <v>823</v>
      </c>
      <c r="I229" s="20" t="s">
        <v>822</v>
      </c>
      <c r="J229" s="21">
        <f t="shared" ca="1" si="6"/>
        <v>846</v>
      </c>
      <c r="K229" s="20" t="str">
        <f t="shared" ca="1" si="7"/>
        <v>Overdue</v>
      </c>
    </row>
    <row r="230" spans="1:11" x14ac:dyDescent="0.3">
      <c r="A230" s="18" t="s">
        <v>237</v>
      </c>
      <c r="B230" s="18" t="s">
        <v>812</v>
      </c>
      <c r="C230" s="19">
        <v>44997</v>
      </c>
      <c r="D230" s="19">
        <v>45027</v>
      </c>
      <c r="E230" s="17">
        <v>328.97</v>
      </c>
      <c r="F230" s="20" t="s">
        <v>817</v>
      </c>
      <c r="G230" s="20" t="s">
        <v>821</v>
      </c>
      <c r="H230" s="22">
        <v>45027</v>
      </c>
      <c r="I230" s="20" t="s">
        <v>822</v>
      </c>
      <c r="J230" s="21">
        <f t="shared" ca="1" si="6"/>
        <v>1168</v>
      </c>
      <c r="K230" s="20" t="str">
        <f t="shared" ca="1" si="7"/>
        <v>OK</v>
      </c>
    </row>
    <row r="231" spans="1:11" x14ac:dyDescent="0.3">
      <c r="A231" s="18" t="s">
        <v>238</v>
      </c>
      <c r="B231" s="18" t="s">
        <v>812</v>
      </c>
      <c r="C231" s="19">
        <v>45523</v>
      </c>
      <c r="D231" s="19">
        <v>45553</v>
      </c>
      <c r="E231" s="17">
        <v>1213.71</v>
      </c>
      <c r="F231" s="20" t="s">
        <v>817</v>
      </c>
      <c r="G231" s="20" t="s">
        <v>819</v>
      </c>
      <c r="H231" s="20" t="s">
        <v>823</v>
      </c>
      <c r="I231" s="20" t="s">
        <v>822</v>
      </c>
      <c r="J231" s="21">
        <f t="shared" ca="1" si="6"/>
        <v>642</v>
      </c>
      <c r="K231" s="20" t="str">
        <f t="shared" ca="1" si="7"/>
        <v>Overdue</v>
      </c>
    </row>
    <row r="232" spans="1:11" x14ac:dyDescent="0.3">
      <c r="A232" s="18" t="s">
        <v>239</v>
      </c>
      <c r="B232" s="18" t="s">
        <v>811</v>
      </c>
      <c r="C232" s="19">
        <v>45772</v>
      </c>
      <c r="D232" s="19">
        <v>45802</v>
      </c>
      <c r="E232" s="17">
        <v>454.59</v>
      </c>
      <c r="F232" s="20" t="s">
        <v>817</v>
      </c>
      <c r="G232" s="20" t="s">
        <v>819</v>
      </c>
      <c r="H232" s="20" t="s">
        <v>823</v>
      </c>
      <c r="I232" s="20" t="s">
        <v>822</v>
      </c>
      <c r="J232" s="21">
        <f t="shared" ca="1" si="6"/>
        <v>393</v>
      </c>
      <c r="K232" s="20" t="str">
        <f t="shared" ca="1" si="7"/>
        <v>Overdue</v>
      </c>
    </row>
    <row r="233" spans="1:11" x14ac:dyDescent="0.3">
      <c r="A233" s="18" t="s">
        <v>240</v>
      </c>
      <c r="B233" s="18" t="s">
        <v>811</v>
      </c>
      <c r="C233" s="19">
        <v>45040</v>
      </c>
      <c r="D233" s="19">
        <v>45070</v>
      </c>
      <c r="E233" s="17">
        <v>4278.37</v>
      </c>
      <c r="F233" s="20" t="s">
        <v>815</v>
      </c>
      <c r="G233" s="20" t="s">
        <v>821</v>
      </c>
      <c r="H233" s="22">
        <v>45070</v>
      </c>
      <c r="I233" s="20" t="s">
        <v>822</v>
      </c>
      <c r="J233" s="21">
        <f t="shared" ca="1" si="6"/>
        <v>1125</v>
      </c>
      <c r="K233" s="20" t="str">
        <f t="shared" ca="1" si="7"/>
        <v>OK</v>
      </c>
    </row>
    <row r="234" spans="1:11" x14ac:dyDescent="0.3">
      <c r="A234" s="18" t="s">
        <v>241</v>
      </c>
      <c r="B234" s="18" t="s">
        <v>809</v>
      </c>
      <c r="C234" s="19">
        <v>45524</v>
      </c>
      <c r="D234" s="19">
        <v>45554</v>
      </c>
      <c r="E234" s="17">
        <v>3048.16</v>
      </c>
      <c r="F234" s="20" t="s">
        <v>817</v>
      </c>
      <c r="G234" s="20" t="s">
        <v>819</v>
      </c>
      <c r="H234" s="20" t="s">
        <v>823</v>
      </c>
      <c r="I234" s="20" t="s">
        <v>822</v>
      </c>
      <c r="J234" s="21">
        <f t="shared" ca="1" si="6"/>
        <v>641</v>
      </c>
      <c r="K234" s="20" t="str">
        <f t="shared" ca="1" si="7"/>
        <v>Overdue</v>
      </c>
    </row>
    <row r="235" spans="1:11" x14ac:dyDescent="0.3">
      <c r="A235" s="18" t="s">
        <v>242</v>
      </c>
      <c r="B235" s="18" t="s">
        <v>812</v>
      </c>
      <c r="C235" s="19">
        <v>45065</v>
      </c>
      <c r="D235" s="19">
        <v>45095</v>
      </c>
      <c r="E235" s="17">
        <v>4611.88</v>
      </c>
      <c r="F235" s="20" t="s">
        <v>818</v>
      </c>
      <c r="G235" s="20" t="s">
        <v>820</v>
      </c>
      <c r="H235" s="20" t="s">
        <v>823</v>
      </c>
      <c r="I235" s="20" t="s">
        <v>822</v>
      </c>
      <c r="J235" s="21">
        <f t="shared" ca="1" si="6"/>
        <v>1100</v>
      </c>
      <c r="K235" s="20" t="str">
        <f t="shared" ca="1" si="7"/>
        <v>Overdue</v>
      </c>
    </row>
    <row r="236" spans="1:11" x14ac:dyDescent="0.3">
      <c r="A236" s="18" t="s">
        <v>243</v>
      </c>
      <c r="B236" s="18" t="s">
        <v>809</v>
      </c>
      <c r="C236" s="19">
        <v>45315</v>
      </c>
      <c r="D236" s="19">
        <v>45345</v>
      </c>
      <c r="E236" s="17">
        <v>2206.77</v>
      </c>
      <c r="F236" s="20" t="s">
        <v>817</v>
      </c>
      <c r="G236" s="20" t="s">
        <v>819</v>
      </c>
      <c r="H236" s="20" t="s">
        <v>823</v>
      </c>
      <c r="I236" s="20" t="s">
        <v>822</v>
      </c>
      <c r="J236" s="21">
        <f t="shared" ca="1" si="6"/>
        <v>850</v>
      </c>
      <c r="K236" s="20" t="str">
        <f t="shared" ca="1" si="7"/>
        <v>Overdue</v>
      </c>
    </row>
    <row r="237" spans="1:11" x14ac:dyDescent="0.3">
      <c r="A237" s="18" t="s">
        <v>244</v>
      </c>
      <c r="B237" s="18" t="s">
        <v>809</v>
      </c>
      <c r="C237" s="19">
        <v>45269</v>
      </c>
      <c r="D237" s="19">
        <v>45299</v>
      </c>
      <c r="E237" s="17">
        <v>1191.52</v>
      </c>
      <c r="F237" s="20" t="s">
        <v>817</v>
      </c>
      <c r="G237" s="20" t="s">
        <v>821</v>
      </c>
      <c r="H237" s="22">
        <v>45299</v>
      </c>
      <c r="I237" s="20" t="s">
        <v>822</v>
      </c>
      <c r="J237" s="21">
        <f t="shared" ca="1" si="6"/>
        <v>896</v>
      </c>
      <c r="K237" s="20" t="str">
        <f t="shared" ca="1" si="7"/>
        <v>OK</v>
      </c>
    </row>
    <row r="238" spans="1:11" x14ac:dyDescent="0.3">
      <c r="A238" s="18" t="s">
        <v>245</v>
      </c>
      <c r="B238" s="18" t="s">
        <v>809</v>
      </c>
      <c r="C238" s="19">
        <v>44938</v>
      </c>
      <c r="D238" s="19">
        <v>44968</v>
      </c>
      <c r="E238" s="17">
        <v>1715.9</v>
      </c>
      <c r="F238" s="20" t="s">
        <v>815</v>
      </c>
      <c r="G238" s="20" t="s">
        <v>820</v>
      </c>
      <c r="H238" s="20" t="s">
        <v>823</v>
      </c>
      <c r="I238" s="20" t="s">
        <v>822</v>
      </c>
      <c r="J238" s="21">
        <f t="shared" ca="1" si="6"/>
        <v>1227</v>
      </c>
      <c r="K238" s="20" t="str">
        <f t="shared" ca="1" si="7"/>
        <v>Overdue</v>
      </c>
    </row>
    <row r="239" spans="1:11" x14ac:dyDescent="0.3">
      <c r="A239" s="18" t="s">
        <v>246</v>
      </c>
      <c r="B239" s="18" t="s">
        <v>810</v>
      </c>
      <c r="C239" s="19">
        <v>44956</v>
      </c>
      <c r="D239" s="19">
        <v>44986</v>
      </c>
      <c r="E239" s="17">
        <v>2281.3000000000002</v>
      </c>
      <c r="F239" s="20" t="s">
        <v>816</v>
      </c>
      <c r="G239" s="20" t="s">
        <v>821</v>
      </c>
      <c r="H239" s="22">
        <v>44986</v>
      </c>
      <c r="I239" s="20" t="s">
        <v>822</v>
      </c>
      <c r="J239" s="21">
        <f t="shared" ca="1" si="6"/>
        <v>1209</v>
      </c>
      <c r="K239" s="20" t="str">
        <f t="shared" ca="1" si="7"/>
        <v>OK</v>
      </c>
    </row>
    <row r="240" spans="1:11" x14ac:dyDescent="0.3">
      <c r="A240" s="18" t="s">
        <v>247</v>
      </c>
      <c r="B240" s="18" t="s">
        <v>811</v>
      </c>
      <c r="C240" s="19">
        <v>45362</v>
      </c>
      <c r="D240" s="19">
        <v>45392</v>
      </c>
      <c r="E240" s="17">
        <v>3825.33</v>
      </c>
      <c r="F240" s="20" t="s">
        <v>816</v>
      </c>
      <c r="G240" s="20" t="s">
        <v>819</v>
      </c>
      <c r="H240" s="20" t="s">
        <v>823</v>
      </c>
      <c r="I240" s="20" t="s">
        <v>822</v>
      </c>
      <c r="J240" s="21">
        <f t="shared" ca="1" si="6"/>
        <v>803</v>
      </c>
      <c r="K240" s="20" t="str">
        <f t="shared" ca="1" si="7"/>
        <v>Overdue</v>
      </c>
    </row>
    <row r="241" spans="1:11" x14ac:dyDescent="0.3">
      <c r="A241" s="18" t="s">
        <v>248</v>
      </c>
      <c r="B241" s="18" t="s">
        <v>811</v>
      </c>
      <c r="C241" s="19">
        <v>45008</v>
      </c>
      <c r="D241" s="19">
        <v>45038</v>
      </c>
      <c r="E241" s="17">
        <v>4771.6000000000004</v>
      </c>
      <c r="F241" s="20" t="s">
        <v>818</v>
      </c>
      <c r="G241" s="20" t="s">
        <v>820</v>
      </c>
      <c r="H241" s="20" t="s">
        <v>823</v>
      </c>
      <c r="I241" s="20" t="s">
        <v>822</v>
      </c>
      <c r="J241" s="21">
        <f t="shared" ca="1" si="6"/>
        <v>1157</v>
      </c>
      <c r="K241" s="20" t="str">
        <f t="shared" ca="1" si="7"/>
        <v>Overdue</v>
      </c>
    </row>
    <row r="242" spans="1:11" x14ac:dyDescent="0.3">
      <c r="A242" s="18" t="s">
        <v>249</v>
      </c>
      <c r="B242" s="18" t="s">
        <v>811</v>
      </c>
      <c r="C242" s="19">
        <v>45474</v>
      </c>
      <c r="D242" s="19">
        <v>45504</v>
      </c>
      <c r="E242" s="17">
        <v>3536.61</v>
      </c>
      <c r="F242" s="20" t="s">
        <v>817</v>
      </c>
      <c r="G242" s="20" t="s">
        <v>820</v>
      </c>
      <c r="H242" s="20" t="s">
        <v>823</v>
      </c>
      <c r="I242" s="20" t="s">
        <v>822</v>
      </c>
      <c r="J242" s="21">
        <f t="shared" ca="1" si="6"/>
        <v>691</v>
      </c>
      <c r="K242" s="20" t="str">
        <f t="shared" ca="1" si="7"/>
        <v>Overdue</v>
      </c>
    </row>
    <row r="243" spans="1:11" x14ac:dyDescent="0.3">
      <c r="A243" s="18" t="s">
        <v>250</v>
      </c>
      <c r="B243" s="18" t="s">
        <v>813</v>
      </c>
      <c r="C243" s="19">
        <v>45087</v>
      </c>
      <c r="D243" s="19">
        <v>45117</v>
      </c>
      <c r="E243" s="17">
        <v>4873.4799999999996</v>
      </c>
      <c r="F243" s="20" t="s">
        <v>814</v>
      </c>
      <c r="G243" s="20" t="s">
        <v>821</v>
      </c>
      <c r="H243" s="22">
        <v>45117</v>
      </c>
      <c r="I243" s="20" t="s">
        <v>822</v>
      </c>
      <c r="J243" s="21">
        <f t="shared" ca="1" si="6"/>
        <v>1078</v>
      </c>
      <c r="K243" s="20" t="str">
        <f t="shared" ca="1" si="7"/>
        <v>OK</v>
      </c>
    </row>
    <row r="244" spans="1:11" x14ac:dyDescent="0.3">
      <c r="A244" s="18" t="s">
        <v>251</v>
      </c>
      <c r="B244" s="18" t="s">
        <v>809</v>
      </c>
      <c r="C244" s="19">
        <v>45618</v>
      </c>
      <c r="D244" s="19">
        <v>45648</v>
      </c>
      <c r="E244" s="17">
        <v>3763.83</v>
      </c>
      <c r="F244" s="20" t="s">
        <v>818</v>
      </c>
      <c r="G244" s="20" t="s">
        <v>820</v>
      </c>
      <c r="H244" s="20" t="s">
        <v>823</v>
      </c>
      <c r="I244" s="20" t="s">
        <v>822</v>
      </c>
      <c r="J244" s="21">
        <f t="shared" ca="1" si="6"/>
        <v>547</v>
      </c>
      <c r="K244" s="20" t="str">
        <f t="shared" ca="1" si="7"/>
        <v>Overdue</v>
      </c>
    </row>
    <row r="245" spans="1:11" x14ac:dyDescent="0.3">
      <c r="A245" s="18" t="s">
        <v>252</v>
      </c>
      <c r="B245" s="18" t="s">
        <v>809</v>
      </c>
      <c r="C245" s="19">
        <v>45045</v>
      </c>
      <c r="D245" s="19">
        <v>45075</v>
      </c>
      <c r="E245" s="17">
        <v>1956.76</v>
      </c>
      <c r="F245" s="20" t="s">
        <v>815</v>
      </c>
      <c r="G245" s="20" t="s">
        <v>820</v>
      </c>
      <c r="H245" s="20" t="s">
        <v>823</v>
      </c>
      <c r="I245" s="20" t="s">
        <v>822</v>
      </c>
      <c r="J245" s="21">
        <f t="shared" ca="1" si="6"/>
        <v>1120</v>
      </c>
      <c r="K245" s="20" t="str">
        <f t="shared" ca="1" si="7"/>
        <v>Overdue</v>
      </c>
    </row>
    <row r="246" spans="1:11" x14ac:dyDescent="0.3">
      <c r="A246" s="18" t="s">
        <v>253</v>
      </c>
      <c r="B246" s="18" t="s">
        <v>809</v>
      </c>
      <c r="C246" s="19">
        <v>45396</v>
      </c>
      <c r="D246" s="19">
        <v>45426</v>
      </c>
      <c r="E246" s="17">
        <v>4541.03</v>
      </c>
      <c r="F246" s="20" t="s">
        <v>818</v>
      </c>
      <c r="G246" s="20" t="s">
        <v>820</v>
      </c>
      <c r="H246" s="20" t="s">
        <v>823</v>
      </c>
      <c r="I246" s="20" t="s">
        <v>822</v>
      </c>
      <c r="J246" s="21">
        <f t="shared" ca="1" si="6"/>
        <v>769</v>
      </c>
      <c r="K246" s="20" t="str">
        <f t="shared" ca="1" si="7"/>
        <v>Overdue</v>
      </c>
    </row>
    <row r="247" spans="1:11" x14ac:dyDescent="0.3">
      <c r="A247" s="18" t="s">
        <v>254</v>
      </c>
      <c r="B247" s="18" t="s">
        <v>811</v>
      </c>
      <c r="C247" s="19">
        <v>45203</v>
      </c>
      <c r="D247" s="19">
        <v>45233</v>
      </c>
      <c r="E247" s="17">
        <v>3118.33</v>
      </c>
      <c r="F247" s="20" t="s">
        <v>817</v>
      </c>
      <c r="G247" s="20" t="s">
        <v>820</v>
      </c>
      <c r="H247" s="20" t="s">
        <v>823</v>
      </c>
      <c r="I247" s="20" t="s">
        <v>822</v>
      </c>
      <c r="J247" s="21">
        <f t="shared" ca="1" si="6"/>
        <v>962</v>
      </c>
      <c r="K247" s="20" t="str">
        <f t="shared" ca="1" si="7"/>
        <v>Overdue</v>
      </c>
    </row>
    <row r="248" spans="1:11" x14ac:dyDescent="0.3">
      <c r="A248" s="18" t="s">
        <v>255</v>
      </c>
      <c r="B248" s="18" t="s">
        <v>811</v>
      </c>
      <c r="C248" s="19">
        <v>45503</v>
      </c>
      <c r="D248" s="19">
        <v>45533</v>
      </c>
      <c r="E248" s="17">
        <v>4825.22</v>
      </c>
      <c r="F248" s="20" t="s">
        <v>815</v>
      </c>
      <c r="G248" s="20" t="s">
        <v>821</v>
      </c>
      <c r="H248" s="22">
        <v>45533</v>
      </c>
      <c r="I248" s="20" t="s">
        <v>822</v>
      </c>
      <c r="J248" s="21">
        <f t="shared" ca="1" si="6"/>
        <v>662</v>
      </c>
      <c r="K248" s="20" t="str">
        <f t="shared" ca="1" si="7"/>
        <v>OK</v>
      </c>
    </row>
    <row r="249" spans="1:11" x14ac:dyDescent="0.3">
      <c r="A249" s="18" t="s">
        <v>256</v>
      </c>
      <c r="B249" s="18" t="s">
        <v>813</v>
      </c>
      <c r="C249" s="19">
        <v>45712</v>
      </c>
      <c r="D249" s="19">
        <v>45742</v>
      </c>
      <c r="E249" s="17">
        <v>3534.62</v>
      </c>
      <c r="F249" s="20" t="s">
        <v>818</v>
      </c>
      <c r="G249" s="20" t="s">
        <v>820</v>
      </c>
      <c r="H249" s="20" t="s">
        <v>823</v>
      </c>
      <c r="I249" s="20" t="s">
        <v>822</v>
      </c>
      <c r="J249" s="21">
        <f t="shared" ca="1" si="6"/>
        <v>453</v>
      </c>
      <c r="K249" s="20" t="str">
        <f t="shared" ca="1" si="7"/>
        <v>Overdue</v>
      </c>
    </row>
    <row r="250" spans="1:11" x14ac:dyDescent="0.3">
      <c r="A250" s="18" t="s">
        <v>257</v>
      </c>
      <c r="B250" s="18" t="s">
        <v>811</v>
      </c>
      <c r="C250" s="19">
        <v>45075</v>
      </c>
      <c r="D250" s="19">
        <v>45105</v>
      </c>
      <c r="E250" s="17">
        <v>2784.2</v>
      </c>
      <c r="F250" s="20" t="s">
        <v>816</v>
      </c>
      <c r="G250" s="20" t="s">
        <v>821</v>
      </c>
      <c r="H250" s="22">
        <v>45105</v>
      </c>
      <c r="I250" s="20" t="s">
        <v>822</v>
      </c>
      <c r="J250" s="21">
        <f t="shared" ca="1" si="6"/>
        <v>1090</v>
      </c>
      <c r="K250" s="20" t="str">
        <f t="shared" ca="1" si="7"/>
        <v>OK</v>
      </c>
    </row>
    <row r="251" spans="1:11" x14ac:dyDescent="0.3">
      <c r="A251" s="18" t="s">
        <v>258</v>
      </c>
      <c r="B251" s="18" t="s">
        <v>810</v>
      </c>
      <c r="C251" s="19">
        <v>45792</v>
      </c>
      <c r="D251" s="19">
        <v>45822</v>
      </c>
      <c r="E251" s="17">
        <v>4703.79</v>
      </c>
      <c r="F251" s="20" t="s">
        <v>818</v>
      </c>
      <c r="G251" s="20" t="s">
        <v>819</v>
      </c>
      <c r="H251" s="20" t="s">
        <v>823</v>
      </c>
      <c r="I251" s="20" t="s">
        <v>822</v>
      </c>
      <c r="J251" s="21">
        <f t="shared" ca="1" si="6"/>
        <v>373</v>
      </c>
      <c r="K251" s="20" t="str">
        <f t="shared" ca="1" si="7"/>
        <v>Overdue</v>
      </c>
    </row>
    <row r="252" spans="1:11" x14ac:dyDescent="0.3">
      <c r="A252" s="18" t="s">
        <v>259</v>
      </c>
      <c r="B252" s="18" t="s">
        <v>813</v>
      </c>
      <c r="C252" s="19">
        <v>45423</v>
      </c>
      <c r="D252" s="19">
        <v>45453</v>
      </c>
      <c r="E252" s="17">
        <v>3586.26</v>
      </c>
      <c r="F252" s="20" t="s">
        <v>818</v>
      </c>
      <c r="G252" s="20" t="s">
        <v>819</v>
      </c>
      <c r="H252" s="20" t="s">
        <v>823</v>
      </c>
      <c r="I252" s="20" t="s">
        <v>822</v>
      </c>
      <c r="J252" s="21">
        <f t="shared" ca="1" si="6"/>
        <v>742</v>
      </c>
      <c r="K252" s="20" t="str">
        <f t="shared" ca="1" si="7"/>
        <v>Overdue</v>
      </c>
    </row>
    <row r="253" spans="1:11" x14ac:dyDescent="0.3">
      <c r="A253" s="18" t="s">
        <v>260</v>
      </c>
      <c r="B253" s="18" t="s">
        <v>809</v>
      </c>
      <c r="C253" s="19">
        <v>45373</v>
      </c>
      <c r="D253" s="19">
        <v>45403</v>
      </c>
      <c r="E253" s="17">
        <v>2609.4499999999998</v>
      </c>
      <c r="F253" s="20" t="s">
        <v>817</v>
      </c>
      <c r="G253" s="20" t="s">
        <v>821</v>
      </c>
      <c r="H253" s="22">
        <v>45403</v>
      </c>
      <c r="I253" s="20" t="s">
        <v>822</v>
      </c>
      <c r="J253" s="21">
        <f t="shared" ca="1" si="6"/>
        <v>792</v>
      </c>
      <c r="K253" s="20" t="str">
        <f t="shared" ca="1" si="7"/>
        <v>OK</v>
      </c>
    </row>
    <row r="254" spans="1:11" x14ac:dyDescent="0.3">
      <c r="A254" s="18" t="s">
        <v>261</v>
      </c>
      <c r="B254" s="18" t="s">
        <v>809</v>
      </c>
      <c r="C254" s="19">
        <v>44999</v>
      </c>
      <c r="D254" s="19">
        <v>45029</v>
      </c>
      <c r="E254" s="17">
        <v>527.17999999999995</v>
      </c>
      <c r="F254" s="20" t="s">
        <v>816</v>
      </c>
      <c r="G254" s="20" t="s">
        <v>821</v>
      </c>
      <c r="H254" s="22">
        <v>45029</v>
      </c>
      <c r="I254" s="20" t="s">
        <v>822</v>
      </c>
      <c r="J254" s="21">
        <f t="shared" ca="1" si="6"/>
        <v>1166</v>
      </c>
      <c r="K254" s="20" t="str">
        <f t="shared" ca="1" si="7"/>
        <v>OK</v>
      </c>
    </row>
    <row r="255" spans="1:11" x14ac:dyDescent="0.3">
      <c r="A255" s="18" t="s">
        <v>262</v>
      </c>
      <c r="B255" s="18" t="s">
        <v>812</v>
      </c>
      <c r="C255" s="19">
        <v>45086</v>
      </c>
      <c r="D255" s="19">
        <v>45116</v>
      </c>
      <c r="E255" s="17">
        <v>3705.03</v>
      </c>
      <c r="F255" s="20" t="s">
        <v>818</v>
      </c>
      <c r="G255" s="20" t="s">
        <v>820</v>
      </c>
      <c r="H255" s="20" t="s">
        <v>823</v>
      </c>
      <c r="I255" s="20" t="s">
        <v>822</v>
      </c>
      <c r="J255" s="21">
        <f t="shared" ca="1" si="6"/>
        <v>1079</v>
      </c>
      <c r="K255" s="20" t="str">
        <f t="shared" ca="1" si="7"/>
        <v>Overdue</v>
      </c>
    </row>
    <row r="256" spans="1:11" x14ac:dyDescent="0.3">
      <c r="A256" s="18" t="s">
        <v>263</v>
      </c>
      <c r="B256" s="18" t="s">
        <v>809</v>
      </c>
      <c r="C256" s="19">
        <v>45440</v>
      </c>
      <c r="D256" s="19">
        <v>45470</v>
      </c>
      <c r="E256" s="17">
        <v>1274.56</v>
      </c>
      <c r="F256" s="20" t="s">
        <v>818</v>
      </c>
      <c r="G256" s="20" t="s">
        <v>819</v>
      </c>
      <c r="H256" s="20" t="s">
        <v>823</v>
      </c>
      <c r="I256" s="20" t="s">
        <v>822</v>
      </c>
      <c r="J256" s="21">
        <f t="shared" ca="1" si="6"/>
        <v>725</v>
      </c>
      <c r="K256" s="20" t="str">
        <f t="shared" ca="1" si="7"/>
        <v>Overdue</v>
      </c>
    </row>
    <row r="257" spans="1:11" x14ac:dyDescent="0.3">
      <c r="A257" s="18" t="s">
        <v>264</v>
      </c>
      <c r="B257" s="18" t="s">
        <v>810</v>
      </c>
      <c r="C257" s="19">
        <v>45815</v>
      </c>
      <c r="D257" s="19">
        <v>45845</v>
      </c>
      <c r="E257" s="17">
        <v>928.12</v>
      </c>
      <c r="F257" s="20" t="s">
        <v>814</v>
      </c>
      <c r="G257" s="20" t="s">
        <v>821</v>
      </c>
      <c r="H257" s="22">
        <v>45845</v>
      </c>
      <c r="I257" s="20" t="s">
        <v>822</v>
      </c>
      <c r="J257" s="21">
        <f t="shared" ca="1" si="6"/>
        <v>350</v>
      </c>
      <c r="K257" s="20" t="str">
        <f t="shared" ca="1" si="7"/>
        <v>OK</v>
      </c>
    </row>
    <row r="258" spans="1:11" x14ac:dyDescent="0.3">
      <c r="A258" s="18" t="s">
        <v>265</v>
      </c>
      <c r="B258" s="18" t="s">
        <v>813</v>
      </c>
      <c r="C258" s="19">
        <v>45695</v>
      </c>
      <c r="D258" s="19">
        <v>45725</v>
      </c>
      <c r="E258" s="17">
        <v>3380.41</v>
      </c>
      <c r="F258" s="20" t="s">
        <v>816</v>
      </c>
      <c r="G258" s="20" t="s">
        <v>820</v>
      </c>
      <c r="H258" s="20" t="s">
        <v>823</v>
      </c>
      <c r="I258" s="20" t="s">
        <v>822</v>
      </c>
      <c r="J258" s="21">
        <f t="shared" ref="J258:J321" ca="1" si="8">TODAY()-D258</f>
        <v>470</v>
      </c>
      <c r="K258" s="20" t="str">
        <f t="shared" ref="K258:K321" ca="1" si="9">IF(AND(TODAY()&gt;D258,G258&lt;&gt;"Paid"),"Overdue","OK")</f>
        <v>Overdue</v>
      </c>
    </row>
    <row r="259" spans="1:11" x14ac:dyDescent="0.3">
      <c r="A259" s="18" t="s">
        <v>266</v>
      </c>
      <c r="B259" s="18" t="s">
        <v>813</v>
      </c>
      <c r="C259" s="19">
        <v>44949</v>
      </c>
      <c r="D259" s="19">
        <v>44979</v>
      </c>
      <c r="E259" s="17">
        <v>489.13</v>
      </c>
      <c r="F259" s="20" t="s">
        <v>814</v>
      </c>
      <c r="G259" s="20" t="s">
        <v>819</v>
      </c>
      <c r="H259" s="20" t="s">
        <v>823</v>
      </c>
      <c r="I259" s="20" t="s">
        <v>822</v>
      </c>
      <c r="J259" s="21">
        <f t="shared" ca="1" si="8"/>
        <v>1216</v>
      </c>
      <c r="K259" s="20" t="str">
        <f t="shared" ca="1" si="9"/>
        <v>Overdue</v>
      </c>
    </row>
    <row r="260" spans="1:11" x14ac:dyDescent="0.3">
      <c r="A260" s="18" t="s">
        <v>267</v>
      </c>
      <c r="B260" s="18" t="s">
        <v>810</v>
      </c>
      <c r="C260" s="19">
        <v>45237</v>
      </c>
      <c r="D260" s="19">
        <v>45267</v>
      </c>
      <c r="E260" s="17">
        <v>2309.52</v>
      </c>
      <c r="F260" s="20" t="s">
        <v>817</v>
      </c>
      <c r="G260" s="20" t="s">
        <v>820</v>
      </c>
      <c r="H260" s="20" t="s">
        <v>823</v>
      </c>
      <c r="I260" s="20" t="s">
        <v>822</v>
      </c>
      <c r="J260" s="21">
        <f t="shared" ca="1" si="8"/>
        <v>928</v>
      </c>
      <c r="K260" s="20" t="str">
        <f t="shared" ca="1" si="9"/>
        <v>Overdue</v>
      </c>
    </row>
    <row r="261" spans="1:11" x14ac:dyDescent="0.3">
      <c r="A261" s="18" t="s">
        <v>268</v>
      </c>
      <c r="B261" s="18" t="s">
        <v>809</v>
      </c>
      <c r="C261" s="19">
        <v>45166</v>
      </c>
      <c r="D261" s="19">
        <v>45196</v>
      </c>
      <c r="E261" s="17">
        <v>2555.11</v>
      </c>
      <c r="F261" s="20" t="s">
        <v>815</v>
      </c>
      <c r="G261" s="20" t="s">
        <v>819</v>
      </c>
      <c r="H261" s="20" t="s">
        <v>823</v>
      </c>
      <c r="I261" s="20" t="s">
        <v>822</v>
      </c>
      <c r="J261" s="21">
        <f t="shared" ca="1" si="8"/>
        <v>999</v>
      </c>
      <c r="K261" s="20" t="str">
        <f t="shared" ca="1" si="9"/>
        <v>Overdue</v>
      </c>
    </row>
    <row r="262" spans="1:11" x14ac:dyDescent="0.3">
      <c r="A262" s="18" t="s">
        <v>269</v>
      </c>
      <c r="B262" s="18" t="s">
        <v>811</v>
      </c>
      <c r="C262" s="19">
        <v>45373</v>
      </c>
      <c r="D262" s="19">
        <v>45403</v>
      </c>
      <c r="E262" s="17">
        <v>3084.27</v>
      </c>
      <c r="F262" s="20" t="s">
        <v>817</v>
      </c>
      <c r="G262" s="20" t="s">
        <v>821</v>
      </c>
      <c r="H262" s="22">
        <v>45403</v>
      </c>
      <c r="I262" s="20" t="s">
        <v>822</v>
      </c>
      <c r="J262" s="21">
        <f t="shared" ca="1" si="8"/>
        <v>792</v>
      </c>
      <c r="K262" s="20" t="str">
        <f t="shared" ca="1" si="9"/>
        <v>OK</v>
      </c>
    </row>
    <row r="263" spans="1:11" x14ac:dyDescent="0.3">
      <c r="A263" s="18" t="s">
        <v>270</v>
      </c>
      <c r="B263" s="18" t="s">
        <v>809</v>
      </c>
      <c r="C263" s="19">
        <v>45693</v>
      </c>
      <c r="D263" s="19">
        <v>45723</v>
      </c>
      <c r="E263" s="17">
        <v>2226.56</v>
      </c>
      <c r="F263" s="20" t="s">
        <v>814</v>
      </c>
      <c r="G263" s="20" t="s">
        <v>821</v>
      </c>
      <c r="H263" s="22">
        <v>45723</v>
      </c>
      <c r="I263" s="20" t="s">
        <v>822</v>
      </c>
      <c r="J263" s="21">
        <f t="shared" ca="1" si="8"/>
        <v>472</v>
      </c>
      <c r="K263" s="20" t="str">
        <f t="shared" ca="1" si="9"/>
        <v>OK</v>
      </c>
    </row>
    <row r="264" spans="1:11" x14ac:dyDescent="0.3">
      <c r="A264" s="18" t="s">
        <v>271</v>
      </c>
      <c r="B264" s="18" t="s">
        <v>812</v>
      </c>
      <c r="C264" s="19">
        <v>45316</v>
      </c>
      <c r="D264" s="19">
        <v>45346</v>
      </c>
      <c r="E264" s="17">
        <v>1081.44</v>
      </c>
      <c r="F264" s="20" t="s">
        <v>818</v>
      </c>
      <c r="G264" s="20" t="s">
        <v>821</v>
      </c>
      <c r="H264" s="22">
        <v>45346</v>
      </c>
      <c r="I264" s="20" t="s">
        <v>822</v>
      </c>
      <c r="J264" s="21">
        <f t="shared" ca="1" si="8"/>
        <v>849</v>
      </c>
      <c r="K264" s="20" t="str">
        <f t="shared" ca="1" si="9"/>
        <v>OK</v>
      </c>
    </row>
    <row r="265" spans="1:11" x14ac:dyDescent="0.3">
      <c r="A265" s="18" t="s">
        <v>272</v>
      </c>
      <c r="B265" s="18" t="s">
        <v>811</v>
      </c>
      <c r="C265" s="19">
        <v>45089</v>
      </c>
      <c r="D265" s="19">
        <v>45119</v>
      </c>
      <c r="E265" s="17">
        <v>985.69</v>
      </c>
      <c r="F265" s="20" t="s">
        <v>817</v>
      </c>
      <c r="G265" s="20" t="s">
        <v>820</v>
      </c>
      <c r="H265" s="20" t="s">
        <v>823</v>
      </c>
      <c r="I265" s="20" t="s">
        <v>822</v>
      </c>
      <c r="J265" s="21">
        <f t="shared" ca="1" si="8"/>
        <v>1076</v>
      </c>
      <c r="K265" s="20" t="str">
        <f t="shared" ca="1" si="9"/>
        <v>Overdue</v>
      </c>
    </row>
    <row r="266" spans="1:11" x14ac:dyDescent="0.3">
      <c r="A266" s="18" t="s">
        <v>273</v>
      </c>
      <c r="B266" s="18" t="s">
        <v>809</v>
      </c>
      <c r="C266" s="19">
        <v>45792</v>
      </c>
      <c r="D266" s="19">
        <v>45822</v>
      </c>
      <c r="E266" s="17">
        <v>4502.04</v>
      </c>
      <c r="F266" s="20" t="s">
        <v>815</v>
      </c>
      <c r="G266" s="20" t="s">
        <v>820</v>
      </c>
      <c r="H266" s="20" t="s">
        <v>823</v>
      </c>
      <c r="I266" s="20" t="s">
        <v>822</v>
      </c>
      <c r="J266" s="21">
        <f t="shared" ca="1" si="8"/>
        <v>373</v>
      </c>
      <c r="K266" s="20" t="str">
        <f t="shared" ca="1" si="9"/>
        <v>Overdue</v>
      </c>
    </row>
    <row r="267" spans="1:11" x14ac:dyDescent="0.3">
      <c r="A267" s="18" t="s">
        <v>274</v>
      </c>
      <c r="B267" s="18" t="s">
        <v>813</v>
      </c>
      <c r="C267" s="19">
        <v>45686</v>
      </c>
      <c r="D267" s="19">
        <v>45716</v>
      </c>
      <c r="E267" s="17">
        <v>1415.18</v>
      </c>
      <c r="F267" s="20" t="s">
        <v>816</v>
      </c>
      <c r="G267" s="20" t="s">
        <v>820</v>
      </c>
      <c r="H267" s="20" t="s">
        <v>823</v>
      </c>
      <c r="I267" s="20" t="s">
        <v>822</v>
      </c>
      <c r="J267" s="21">
        <f t="shared" ca="1" si="8"/>
        <v>479</v>
      </c>
      <c r="K267" s="20" t="str">
        <f t="shared" ca="1" si="9"/>
        <v>Overdue</v>
      </c>
    </row>
    <row r="268" spans="1:11" x14ac:dyDescent="0.3">
      <c r="A268" s="18" t="s">
        <v>275</v>
      </c>
      <c r="B268" s="18" t="s">
        <v>812</v>
      </c>
      <c r="C268" s="19">
        <v>45209</v>
      </c>
      <c r="D268" s="19">
        <v>45239</v>
      </c>
      <c r="E268" s="17">
        <v>3176.41</v>
      </c>
      <c r="F268" s="20" t="s">
        <v>814</v>
      </c>
      <c r="G268" s="20" t="s">
        <v>819</v>
      </c>
      <c r="H268" s="20" t="s">
        <v>823</v>
      </c>
      <c r="I268" s="20" t="s">
        <v>822</v>
      </c>
      <c r="J268" s="21">
        <f t="shared" ca="1" si="8"/>
        <v>956</v>
      </c>
      <c r="K268" s="20" t="str">
        <f t="shared" ca="1" si="9"/>
        <v>Overdue</v>
      </c>
    </row>
    <row r="269" spans="1:11" x14ac:dyDescent="0.3">
      <c r="A269" s="18" t="s">
        <v>276</v>
      </c>
      <c r="B269" s="18" t="s">
        <v>811</v>
      </c>
      <c r="C269" s="19">
        <v>45094</v>
      </c>
      <c r="D269" s="19">
        <v>45124</v>
      </c>
      <c r="E269" s="17">
        <v>4887.26</v>
      </c>
      <c r="F269" s="20" t="s">
        <v>817</v>
      </c>
      <c r="G269" s="20" t="s">
        <v>819</v>
      </c>
      <c r="H269" s="20" t="s">
        <v>823</v>
      </c>
      <c r="I269" s="20" t="s">
        <v>822</v>
      </c>
      <c r="J269" s="21">
        <f t="shared" ca="1" si="8"/>
        <v>1071</v>
      </c>
      <c r="K269" s="20" t="str">
        <f t="shared" ca="1" si="9"/>
        <v>Overdue</v>
      </c>
    </row>
    <row r="270" spans="1:11" x14ac:dyDescent="0.3">
      <c r="A270" s="18" t="s">
        <v>277</v>
      </c>
      <c r="B270" s="18" t="s">
        <v>812</v>
      </c>
      <c r="C270" s="19">
        <v>45545</v>
      </c>
      <c r="D270" s="19">
        <v>45575</v>
      </c>
      <c r="E270" s="17">
        <v>3883.76</v>
      </c>
      <c r="F270" s="20" t="s">
        <v>816</v>
      </c>
      <c r="G270" s="20" t="s">
        <v>820</v>
      </c>
      <c r="H270" s="20" t="s">
        <v>823</v>
      </c>
      <c r="I270" s="20" t="s">
        <v>822</v>
      </c>
      <c r="J270" s="21">
        <f t="shared" ca="1" si="8"/>
        <v>620</v>
      </c>
      <c r="K270" s="20" t="str">
        <f t="shared" ca="1" si="9"/>
        <v>Overdue</v>
      </c>
    </row>
    <row r="271" spans="1:11" x14ac:dyDescent="0.3">
      <c r="A271" s="18" t="s">
        <v>278</v>
      </c>
      <c r="B271" s="18" t="s">
        <v>812</v>
      </c>
      <c r="C271" s="19">
        <v>45820</v>
      </c>
      <c r="D271" s="19">
        <v>45850</v>
      </c>
      <c r="E271" s="17">
        <v>1284.06</v>
      </c>
      <c r="F271" s="20" t="s">
        <v>815</v>
      </c>
      <c r="G271" s="20" t="s">
        <v>819</v>
      </c>
      <c r="H271" s="20" t="s">
        <v>823</v>
      </c>
      <c r="I271" s="20" t="s">
        <v>822</v>
      </c>
      <c r="J271" s="21">
        <f t="shared" ca="1" si="8"/>
        <v>345</v>
      </c>
      <c r="K271" s="20" t="str">
        <f t="shared" ca="1" si="9"/>
        <v>Overdue</v>
      </c>
    </row>
    <row r="272" spans="1:11" x14ac:dyDescent="0.3">
      <c r="A272" s="18" t="s">
        <v>279</v>
      </c>
      <c r="B272" s="18" t="s">
        <v>812</v>
      </c>
      <c r="C272" s="19">
        <v>45834</v>
      </c>
      <c r="D272" s="19">
        <v>45864</v>
      </c>
      <c r="E272" s="17">
        <v>4305.1899999999996</v>
      </c>
      <c r="F272" s="20" t="s">
        <v>816</v>
      </c>
      <c r="G272" s="20" t="s">
        <v>821</v>
      </c>
      <c r="H272" s="22">
        <v>45864</v>
      </c>
      <c r="I272" s="20" t="s">
        <v>822</v>
      </c>
      <c r="J272" s="21">
        <f t="shared" ca="1" si="8"/>
        <v>331</v>
      </c>
      <c r="K272" s="20" t="str">
        <f t="shared" ca="1" si="9"/>
        <v>OK</v>
      </c>
    </row>
    <row r="273" spans="1:11" x14ac:dyDescent="0.3">
      <c r="A273" s="18" t="s">
        <v>280</v>
      </c>
      <c r="B273" s="18" t="s">
        <v>812</v>
      </c>
      <c r="C273" s="19">
        <v>45242</v>
      </c>
      <c r="D273" s="19">
        <v>45272</v>
      </c>
      <c r="E273" s="17">
        <v>1810.33</v>
      </c>
      <c r="F273" s="20" t="s">
        <v>818</v>
      </c>
      <c r="G273" s="20" t="s">
        <v>819</v>
      </c>
      <c r="H273" s="20" t="s">
        <v>823</v>
      </c>
      <c r="I273" s="20" t="s">
        <v>822</v>
      </c>
      <c r="J273" s="21">
        <f t="shared" ca="1" si="8"/>
        <v>923</v>
      </c>
      <c r="K273" s="20" t="str">
        <f t="shared" ca="1" si="9"/>
        <v>Overdue</v>
      </c>
    </row>
    <row r="274" spans="1:11" x14ac:dyDescent="0.3">
      <c r="A274" s="18" t="s">
        <v>281</v>
      </c>
      <c r="B274" s="18" t="s">
        <v>809</v>
      </c>
      <c r="C274" s="19">
        <v>45373</v>
      </c>
      <c r="D274" s="19">
        <v>45403</v>
      </c>
      <c r="E274" s="17">
        <v>3741.63</v>
      </c>
      <c r="F274" s="20" t="s">
        <v>814</v>
      </c>
      <c r="G274" s="20" t="s">
        <v>819</v>
      </c>
      <c r="H274" s="20" t="s">
        <v>823</v>
      </c>
      <c r="I274" s="20" t="s">
        <v>822</v>
      </c>
      <c r="J274" s="21">
        <f t="shared" ca="1" si="8"/>
        <v>792</v>
      </c>
      <c r="K274" s="20" t="str">
        <f t="shared" ca="1" si="9"/>
        <v>Overdue</v>
      </c>
    </row>
    <row r="275" spans="1:11" x14ac:dyDescent="0.3">
      <c r="A275" s="18" t="s">
        <v>282</v>
      </c>
      <c r="B275" s="18" t="s">
        <v>810</v>
      </c>
      <c r="C275" s="19">
        <v>45322</v>
      </c>
      <c r="D275" s="19">
        <v>45352</v>
      </c>
      <c r="E275" s="17">
        <v>2037.12</v>
      </c>
      <c r="F275" s="20" t="s">
        <v>818</v>
      </c>
      <c r="G275" s="20" t="s">
        <v>821</v>
      </c>
      <c r="H275" s="22">
        <v>45352</v>
      </c>
      <c r="I275" s="20" t="s">
        <v>822</v>
      </c>
      <c r="J275" s="21">
        <f t="shared" ca="1" si="8"/>
        <v>843</v>
      </c>
      <c r="K275" s="20" t="str">
        <f t="shared" ca="1" si="9"/>
        <v>OK</v>
      </c>
    </row>
    <row r="276" spans="1:11" x14ac:dyDescent="0.3">
      <c r="A276" s="18" t="s">
        <v>283</v>
      </c>
      <c r="B276" s="18" t="s">
        <v>810</v>
      </c>
      <c r="C276" s="19">
        <v>45332</v>
      </c>
      <c r="D276" s="19">
        <v>45362</v>
      </c>
      <c r="E276" s="17">
        <v>970.98</v>
      </c>
      <c r="F276" s="20" t="s">
        <v>817</v>
      </c>
      <c r="G276" s="20" t="s">
        <v>819</v>
      </c>
      <c r="H276" s="20" t="s">
        <v>823</v>
      </c>
      <c r="I276" s="20" t="s">
        <v>822</v>
      </c>
      <c r="J276" s="21">
        <f t="shared" ca="1" si="8"/>
        <v>833</v>
      </c>
      <c r="K276" s="20" t="str">
        <f t="shared" ca="1" si="9"/>
        <v>Overdue</v>
      </c>
    </row>
    <row r="277" spans="1:11" x14ac:dyDescent="0.3">
      <c r="A277" s="18" t="s">
        <v>284</v>
      </c>
      <c r="B277" s="18" t="s">
        <v>812</v>
      </c>
      <c r="C277" s="19">
        <v>44997</v>
      </c>
      <c r="D277" s="19">
        <v>45027</v>
      </c>
      <c r="E277" s="17">
        <v>743.53</v>
      </c>
      <c r="F277" s="20" t="s">
        <v>818</v>
      </c>
      <c r="G277" s="20" t="s">
        <v>821</v>
      </c>
      <c r="H277" s="22">
        <v>45027</v>
      </c>
      <c r="I277" s="20" t="s">
        <v>822</v>
      </c>
      <c r="J277" s="21">
        <f t="shared" ca="1" si="8"/>
        <v>1168</v>
      </c>
      <c r="K277" s="20" t="str">
        <f t="shared" ca="1" si="9"/>
        <v>OK</v>
      </c>
    </row>
    <row r="278" spans="1:11" x14ac:dyDescent="0.3">
      <c r="A278" s="18" t="s">
        <v>285</v>
      </c>
      <c r="B278" s="18" t="s">
        <v>811</v>
      </c>
      <c r="C278" s="19">
        <v>45478</v>
      </c>
      <c r="D278" s="19">
        <v>45508</v>
      </c>
      <c r="E278" s="17">
        <v>983.96</v>
      </c>
      <c r="F278" s="20" t="s">
        <v>816</v>
      </c>
      <c r="G278" s="20" t="s">
        <v>819</v>
      </c>
      <c r="H278" s="20" t="s">
        <v>823</v>
      </c>
      <c r="I278" s="20" t="s">
        <v>822</v>
      </c>
      <c r="J278" s="21">
        <f t="shared" ca="1" si="8"/>
        <v>687</v>
      </c>
      <c r="K278" s="20" t="str">
        <f t="shared" ca="1" si="9"/>
        <v>Overdue</v>
      </c>
    </row>
    <row r="279" spans="1:11" x14ac:dyDescent="0.3">
      <c r="A279" s="18" t="s">
        <v>286</v>
      </c>
      <c r="B279" s="18" t="s">
        <v>811</v>
      </c>
      <c r="C279" s="19">
        <v>45513</v>
      </c>
      <c r="D279" s="19">
        <v>45543</v>
      </c>
      <c r="E279" s="17">
        <v>1917.71</v>
      </c>
      <c r="F279" s="20" t="s">
        <v>816</v>
      </c>
      <c r="G279" s="20" t="s">
        <v>819</v>
      </c>
      <c r="H279" s="20" t="s">
        <v>823</v>
      </c>
      <c r="I279" s="20" t="s">
        <v>822</v>
      </c>
      <c r="J279" s="21">
        <f t="shared" ca="1" si="8"/>
        <v>652</v>
      </c>
      <c r="K279" s="20" t="str">
        <f t="shared" ca="1" si="9"/>
        <v>Overdue</v>
      </c>
    </row>
    <row r="280" spans="1:11" x14ac:dyDescent="0.3">
      <c r="A280" s="18" t="s">
        <v>287</v>
      </c>
      <c r="B280" s="18" t="s">
        <v>809</v>
      </c>
      <c r="C280" s="19">
        <v>45487</v>
      </c>
      <c r="D280" s="19">
        <v>45517</v>
      </c>
      <c r="E280" s="17">
        <v>1199.03</v>
      </c>
      <c r="F280" s="20" t="s">
        <v>817</v>
      </c>
      <c r="G280" s="20" t="s">
        <v>820</v>
      </c>
      <c r="H280" s="20" t="s">
        <v>823</v>
      </c>
      <c r="I280" s="20" t="s">
        <v>822</v>
      </c>
      <c r="J280" s="21">
        <f t="shared" ca="1" si="8"/>
        <v>678</v>
      </c>
      <c r="K280" s="20" t="str">
        <f t="shared" ca="1" si="9"/>
        <v>Overdue</v>
      </c>
    </row>
    <row r="281" spans="1:11" x14ac:dyDescent="0.3">
      <c r="A281" s="18" t="s">
        <v>288</v>
      </c>
      <c r="B281" s="18" t="s">
        <v>811</v>
      </c>
      <c r="C281" s="19">
        <v>45057</v>
      </c>
      <c r="D281" s="19">
        <v>45087</v>
      </c>
      <c r="E281" s="17">
        <v>317.85000000000002</v>
      </c>
      <c r="F281" s="20" t="s">
        <v>817</v>
      </c>
      <c r="G281" s="20" t="s">
        <v>821</v>
      </c>
      <c r="H281" s="22">
        <v>45087</v>
      </c>
      <c r="I281" s="20" t="s">
        <v>822</v>
      </c>
      <c r="J281" s="21">
        <f t="shared" ca="1" si="8"/>
        <v>1108</v>
      </c>
      <c r="K281" s="20" t="str">
        <f t="shared" ca="1" si="9"/>
        <v>OK</v>
      </c>
    </row>
    <row r="282" spans="1:11" x14ac:dyDescent="0.3">
      <c r="A282" s="18" t="s">
        <v>289</v>
      </c>
      <c r="B282" s="18" t="s">
        <v>810</v>
      </c>
      <c r="C282" s="19">
        <v>45753</v>
      </c>
      <c r="D282" s="19">
        <v>45783</v>
      </c>
      <c r="E282" s="17">
        <v>4556.93</v>
      </c>
      <c r="F282" s="20" t="s">
        <v>814</v>
      </c>
      <c r="G282" s="20" t="s">
        <v>820</v>
      </c>
      <c r="H282" s="20" t="s">
        <v>823</v>
      </c>
      <c r="I282" s="20" t="s">
        <v>822</v>
      </c>
      <c r="J282" s="21">
        <f t="shared" ca="1" si="8"/>
        <v>412</v>
      </c>
      <c r="K282" s="20" t="str">
        <f t="shared" ca="1" si="9"/>
        <v>Overdue</v>
      </c>
    </row>
    <row r="283" spans="1:11" x14ac:dyDescent="0.3">
      <c r="A283" s="18" t="s">
        <v>290</v>
      </c>
      <c r="B283" s="18" t="s">
        <v>809</v>
      </c>
      <c r="C283" s="19">
        <v>45606</v>
      </c>
      <c r="D283" s="19">
        <v>45636</v>
      </c>
      <c r="E283" s="17">
        <v>1600.22</v>
      </c>
      <c r="F283" s="20" t="s">
        <v>816</v>
      </c>
      <c r="G283" s="20" t="s">
        <v>819</v>
      </c>
      <c r="H283" s="20" t="s">
        <v>823</v>
      </c>
      <c r="I283" s="20" t="s">
        <v>822</v>
      </c>
      <c r="J283" s="21">
        <f t="shared" ca="1" si="8"/>
        <v>559</v>
      </c>
      <c r="K283" s="20" t="str">
        <f t="shared" ca="1" si="9"/>
        <v>Overdue</v>
      </c>
    </row>
    <row r="284" spans="1:11" x14ac:dyDescent="0.3">
      <c r="A284" s="18" t="s">
        <v>291</v>
      </c>
      <c r="B284" s="18" t="s">
        <v>810</v>
      </c>
      <c r="C284" s="19">
        <v>44974</v>
      </c>
      <c r="D284" s="19">
        <v>45004</v>
      </c>
      <c r="E284" s="17">
        <v>2011.23</v>
      </c>
      <c r="F284" s="20" t="s">
        <v>816</v>
      </c>
      <c r="G284" s="20" t="s">
        <v>819</v>
      </c>
      <c r="H284" s="20" t="s">
        <v>823</v>
      </c>
      <c r="I284" s="20" t="s">
        <v>822</v>
      </c>
      <c r="J284" s="21">
        <f t="shared" ca="1" si="8"/>
        <v>1191</v>
      </c>
      <c r="K284" s="20" t="str">
        <f t="shared" ca="1" si="9"/>
        <v>Overdue</v>
      </c>
    </row>
    <row r="285" spans="1:11" x14ac:dyDescent="0.3">
      <c r="A285" s="18" t="s">
        <v>292</v>
      </c>
      <c r="B285" s="18" t="s">
        <v>810</v>
      </c>
      <c r="C285" s="19">
        <v>45581</v>
      </c>
      <c r="D285" s="19">
        <v>45611</v>
      </c>
      <c r="E285" s="17">
        <v>2093.29</v>
      </c>
      <c r="F285" s="20" t="s">
        <v>815</v>
      </c>
      <c r="G285" s="20" t="s">
        <v>819</v>
      </c>
      <c r="H285" s="20" t="s">
        <v>823</v>
      </c>
      <c r="I285" s="20" t="s">
        <v>822</v>
      </c>
      <c r="J285" s="21">
        <f t="shared" ca="1" si="8"/>
        <v>584</v>
      </c>
      <c r="K285" s="20" t="str">
        <f t="shared" ca="1" si="9"/>
        <v>Overdue</v>
      </c>
    </row>
    <row r="286" spans="1:11" x14ac:dyDescent="0.3">
      <c r="A286" s="18" t="s">
        <v>293</v>
      </c>
      <c r="B286" s="18" t="s">
        <v>813</v>
      </c>
      <c r="C286" s="19">
        <v>45752</v>
      </c>
      <c r="D286" s="19">
        <v>45782</v>
      </c>
      <c r="E286" s="17">
        <v>4095</v>
      </c>
      <c r="F286" s="20" t="s">
        <v>815</v>
      </c>
      <c r="G286" s="20" t="s">
        <v>820</v>
      </c>
      <c r="H286" s="20" t="s">
        <v>823</v>
      </c>
      <c r="I286" s="20" t="s">
        <v>822</v>
      </c>
      <c r="J286" s="21">
        <f t="shared" ca="1" si="8"/>
        <v>413</v>
      </c>
      <c r="K286" s="20" t="str">
        <f t="shared" ca="1" si="9"/>
        <v>Overdue</v>
      </c>
    </row>
    <row r="287" spans="1:11" x14ac:dyDescent="0.3">
      <c r="A287" s="18" t="s">
        <v>294</v>
      </c>
      <c r="B287" s="18" t="s">
        <v>809</v>
      </c>
      <c r="C287" s="19">
        <v>45302</v>
      </c>
      <c r="D287" s="19">
        <v>45332</v>
      </c>
      <c r="E287" s="17">
        <v>3459.29</v>
      </c>
      <c r="F287" s="20" t="s">
        <v>816</v>
      </c>
      <c r="G287" s="20" t="s">
        <v>820</v>
      </c>
      <c r="H287" s="20" t="s">
        <v>823</v>
      </c>
      <c r="I287" s="20" t="s">
        <v>822</v>
      </c>
      <c r="J287" s="21">
        <f t="shared" ca="1" si="8"/>
        <v>863</v>
      </c>
      <c r="K287" s="20" t="str">
        <f t="shared" ca="1" si="9"/>
        <v>Overdue</v>
      </c>
    </row>
    <row r="288" spans="1:11" x14ac:dyDescent="0.3">
      <c r="A288" s="18" t="s">
        <v>295</v>
      </c>
      <c r="B288" s="18" t="s">
        <v>810</v>
      </c>
      <c r="C288" s="19">
        <v>45225</v>
      </c>
      <c r="D288" s="19">
        <v>45255</v>
      </c>
      <c r="E288" s="17">
        <v>310.83999999999997</v>
      </c>
      <c r="F288" s="20" t="s">
        <v>817</v>
      </c>
      <c r="G288" s="20" t="s">
        <v>821</v>
      </c>
      <c r="H288" s="22">
        <v>45255</v>
      </c>
      <c r="I288" s="20" t="s">
        <v>822</v>
      </c>
      <c r="J288" s="21">
        <f t="shared" ca="1" si="8"/>
        <v>940</v>
      </c>
      <c r="K288" s="20" t="str">
        <f t="shared" ca="1" si="9"/>
        <v>OK</v>
      </c>
    </row>
    <row r="289" spans="1:11" x14ac:dyDescent="0.3">
      <c r="A289" s="18" t="s">
        <v>296</v>
      </c>
      <c r="B289" s="18" t="s">
        <v>811</v>
      </c>
      <c r="C289" s="19">
        <v>45559</v>
      </c>
      <c r="D289" s="19">
        <v>45589</v>
      </c>
      <c r="E289" s="17">
        <v>929.39</v>
      </c>
      <c r="F289" s="20" t="s">
        <v>814</v>
      </c>
      <c r="G289" s="20" t="s">
        <v>820</v>
      </c>
      <c r="H289" s="20" t="s">
        <v>823</v>
      </c>
      <c r="I289" s="20" t="s">
        <v>822</v>
      </c>
      <c r="J289" s="21">
        <f t="shared" ca="1" si="8"/>
        <v>606</v>
      </c>
      <c r="K289" s="20" t="str">
        <f t="shared" ca="1" si="9"/>
        <v>Overdue</v>
      </c>
    </row>
    <row r="290" spans="1:11" x14ac:dyDescent="0.3">
      <c r="A290" s="18" t="s">
        <v>297</v>
      </c>
      <c r="B290" s="18" t="s">
        <v>813</v>
      </c>
      <c r="C290" s="19">
        <v>45001</v>
      </c>
      <c r="D290" s="19">
        <v>45031</v>
      </c>
      <c r="E290" s="17">
        <v>4087.15</v>
      </c>
      <c r="F290" s="20" t="s">
        <v>817</v>
      </c>
      <c r="G290" s="20" t="s">
        <v>821</v>
      </c>
      <c r="H290" s="22">
        <v>45031</v>
      </c>
      <c r="I290" s="20" t="s">
        <v>822</v>
      </c>
      <c r="J290" s="21">
        <f t="shared" ca="1" si="8"/>
        <v>1164</v>
      </c>
      <c r="K290" s="20" t="str">
        <f t="shared" ca="1" si="9"/>
        <v>OK</v>
      </c>
    </row>
    <row r="291" spans="1:11" x14ac:dyDescent="0.3">
      <c r="A291" s="18" t="s">
        <v>298</v>
      </c>
      <c r="B291" s="18" t="s">
        <v>812</v>
      </c>
      <c r="C291" s="19">
        <v>45741</v>
      </c>
      <c r="D291" s="19">
        <v>45771</v>
      </c>
      <c r="E291" s="17">
        <v>2351.0300000000002</v>
      </c>
      <c r="F291" s="20" t="s">
        <v>815</v>
      </c>
      <c r="G291" s="20" t="s">
        <v>819</v>
      </c>
      <c r="H291" s="20" t="s">
        <v>823</v>
      </c>
      <c r="I291" s="20" t="s">
        <v>822</v>
      </c>
      <c r="J291" s="21">
        <f t="shared" ca="1" si="8"/>
        <v>424</v>
      </c>
      <c r="K291" s="20" t="str">
        <f t="shared" ca="1" si="9"/>
        <v>Overdue</v>
      </c>
    </row>
    <row r="292" spans="1:11" x14ac:dyDescent="0.3">
      <c r="A292" s="18" t="s">
        <v>299</v>
      </c>
      <c r="B292" s="18" t="s">
        <v>813</v>
      </c>
      <c r="C292" s="19">
        <v>45152</v>
      </c>
      <c r="D292" s="19">
        <v>45182</v>
      </c>
      <c r="E292" s="17">
        <v>4799.5</v>
      </c>
      <c r="F292" s="20" t="s">
        <v>816</v>
      </c>
      <c r="G292" s="20" t="s">
        <v>821</v>
      </c>
      <c r="H292" s="22">
        <v>45182</v>
      </c>
      <c r="I292" s="20" t="s">
        <v>822</v>
      </c>
      <c r="J292" s="21">
        <f t="shared" ca="1" si="8"/>
        <v>1013</v>
      </c>
      <c r="K292" s="20" t="str">
        <f t="shared" ca="1" si="9"/>
        <v>OK</v>
      </c>
    </row>
    <row r="293" spans="1:11" x14ac:dyDescent="0.3">
      <c r="A293" s="18" t="s">
        <v>300</v>
      </c>
      <c r="B293" s="18" t="s">
        <v>813</v>
      </c>
      <c r="C293" s="19">
        <v>45105</v>
      </c>
      <c r="D293" s="19">
        <v>45135</v>
      </c>
      <c r="E293" s="17">
        <v>2284.77</v>
      </c>
      <c r="F293" s="20" t="s">
        <v>818</v>
      </c>
      <c r="G293" s="20" t="s">
        <v>819</v>
      </c>
      <c r="H293" s="20" t="s">
        <v>823</v>
      </c>
      <c r="I293" s="20" t="s">
        <v>822</v>
      </c>
      <c r="J293" s="21">
        <f t="shared" ca="1" si="8"/>
        <v>1060</v>
      </c>
      <c r="K293" s="20" t="str">
        <f t="shared" ca="1" si="9"/>
        <v>Overdue</v>
      </c>
    </row>
    <row r="294" spans="1:11" x14ac:dyDescent="0.3">
      <c r="A294" s="18" t="s">
        <v>301</v>
      </c>
      <c r="B294" s="18" t="s">
        <v>810</v>
      </c>
      <c r="C294" s="19">
        <v>45142</v>
      </c>
      <c r="D294" s="19">
        <v>45172</v>
      </c>
      <c r="E294" s="17">
        <v>2951.68</v>
      </c>
      <c r="F294" s="20" t="s">
        <v>818</v>
      </c>
      <c r="G294" s="20" t="s">
        <v>821</v>
      </c>
      <c r="H294" s="22">
        <v>45172</v>
      </c>
      <c r="I294" s="20" t="s">
        <v>822</v>
      </c>
      <c r="J294" s="21">
        <f t="shared" ca="1" si="8"/>
        <v>1023</v>
      </c>
      <c r="K294" s="20" t="str">
        <f t="shared" ca="1" si="9"/>
        <v>OK</v>
      </c>
    </row>
    <row r="295" spans="1:11" x14ac:dyDescent="0.3">
      <c r="A295" s="18" t="s">
        <v>302</v>
      </c>
      <c r="B295" s="18" t="s">
        <v>811</v>
      </c>
      <c r="C295" s="19">
        <v>45457</v>
      </c>
      <c r="D295" s="19">
        <v>45487</v>
      </c>
      <c r="E295" s="17">
        <v>4227.92</v>
      </c>
      <c r="F295" s="20" t="s">
        <v>818</v>
      </c>
      <c r="G295" s="20" t="s">
        <v>820</v>
      </c>
      <c r="H295" s="20" t="s">
        <v>823</v>
      </c>
      <c r="I295" s="20" t="s">
        <v>822</v>
      </c>
      <c r="J295" s="21">
        <f t="shared" ca="1" si="8"/>
        <v>708</v>
      </c>
      <c r="K295" s="20" t="str">
        <f t="shared" ca="1" si="9"/>
        <v>Overdue</v>
      </c>
    </row>
    <row r="296" spans="1:11" x14ac:dyDescent="0.3">
      <c r="A296" s="18" t="s">
        <v>303</v>
      </c>
      <c r="B296" s="18" t="s">
        <v>813</v>
      </c>
      <c r="C296" s="19">
        <v>45617</v>
      </c>
      <c r="D296" s="19">
        <v>45647</v>
      </c>
      <c r="E296" s="17">
        <v>1060.77</v>
      </c>
      <c r="F296" s="20" t="s">
        <v>818</v>
      </c>
      <c r="G296" s="20" t="s">
        <v>821</v>
      </c>
      <c r="H296" s="22">
        <v>45647</v>
      </c>
      <c r="I296" s="20" t="s">
        <v>822</v>
      </c>
      <c r="J296" s="21">
        <f t="shared" ca="1" si="8"/>
        <v>548</v>
      </c>
      <c r="K296" s="20" t="str">
        <f t="shared" ca="1" si="9"/>
        <v>OK</v>
      </c>
    </row>
    <row r="297" spans="1:11" x14ac:dyDescent="0.3">
      <c r="A297" s="18" t="s">
        <v>304</v>
      </c>
      <c r="B297" s="18" t="s">
        <v>809</v>
      </c>
      <c r="C297" s="19">
        <v>45285</v>
      </c>
      <c r="D297" s="19">
        <v>45315</v>
      </c>
      <c r="E297" s="17">
        <v>4147.42</v>
      </c>
      <c r="F297" s="20" t="s">
        <v>818</v>
      </c>
      <c r="G297" s="20" t="s">
        <v>820</v>
      </c>
      <c r="H297" s="20" t="s">
        <v>823</v>
      </c>
      <c r="I297" s="20" t="s">
        <v>822</v>
      </c>
      <c r="J297" s="21">
        <f t="shared" ca="1" si="8"/>
        <v>880</v>
      </c>
      <c r="K297" s="20" t="str">
        <f t="shared" ca="1" si="9"/>
        <v>Overdue</v>
      </c>
    </row>
    <row r="298" spans="1:11" x14ac:dyDescent="0.3">
      <c r="A298" s="18" t="s">
        <v>305</v>
      </c>
      <c r="B298" s="18" t="s">
        <v>811</v>
      </c>
      <c r="C298" s="19">
        <v>45206</v>
      </c>
      <c r="D298" s="19">
        <v>45236</v>
      </c>
      <c r="E298" s="17">
        <v>4406.58</v>
      </c>
      <c r="F298" s="20" t="s">
        <v>816</v>
      </c>
      <c r="G298" s="20" t="s">
        <v>821</v>
      </c>
      <c r="H298" s="22">
        <v>45236</v>
      </c>
      <c r="I298" s="20" t="s">
        <v>822</v>
      </c>
      <c r="J298" s="21">
        <f t="shared" ca="1" si="8"/>
        <v>959</v>
      </c>
      <c r="K298" s="20" t="str">
        <f t="shared" ca="1" si="9"/>
        <v>OK</v>
      </c>
    </row>
    <row r="299" spans="1:11" x14ac:dyDescent="0.3">
      <c r="A299" s="18" t="s">
        <v>306</v>
      </c>
      <c r="B299" s="18" t="s">
        <v>812</v>
      </c>
      <c r="C299" s="19">
        <v>45069</v>
      </c>
      <c r="D299" s="19">
        <v>45099</v>
      </c>
      <c r="E299" s="17">
        <v>3855.44</v>
      </c>
      <c r="F299" s="20" t="s">
        <v>815</v>
      </c>
      <c r="G299" s="20" t="s">
        <v>819</v>
      </c>
      <c r="H299" s="20" t="s">
        <v>823</v>
      </c>
      <c r="I299" s="20" t="s">
        <v>822</v>
      </c>
      <c r="J299" s="21">
        <f t="shared" ca="1" si="8"/>
        <v>1096</v>
      </c>
      <c r="K299" s="20" t="str">
        <f t="shared" ca="1" si="9"/>
        <v>Overdue</v>
      </c>
    </row>
    <row r="300" spans="1:11" x14ac:dyDescent="0.3">
      <c r="A300" s="18" t="s">
        <v>307</v>
      </c>
      <c r="B300" s="18" t="s">
        <v>811</v>
      </c>
      <c r="C300" s="19">
        <v>45773</v>
      </c>
      <c r="D300" s="19">
        <v>45803</v>
      </c>
      <c r="E300" s="17">
        <v>1239.49</v>
      </c>
      <c r="F300" s="20" t="s">
        <v>815</v>
      </c>
      <c r="G300" s="20" t="s">
        <v>819</v>
      </c>
      <c r="H300" s="20" t="s">
        <v>823</v>
      </c>
      <c r="I300" s="20" t="s">
        <v>822</v>
      </c>
      <c r="J300" s="21">
        <f t="shared" ca="1" si="8"/>
        <v>392</v>
      </c>
      <c r="K300" s="20" t="str">
        <f t="shared" ca="1" si="9"/>
        <v>Overdue</v>
      </c>
    </row>
    <row r="301" spans="1:11" x14ac:dyDescent="0.3">
      <c r="A301" s="18" t="s">
        <v>308</v>
      </c>
      <c r="B301" s="18" t="s">
        <v>812</v>
      </c>
      <c r="C301" s="19">
        <v>45819</v>
      </c>
      <c r="D301" s="19">
        <v>45849</v>
      </c>
      <c r="E301" s="17">
        <v>4842.93</v>
      </c>
      <c r="F301" s="20" t="s">
        <v>818</v>
      </c>
      <c r="G301" s="20" t="s">
        <v>819</v>
      </c>
      <c r="H301" s="20" t="s">
        <v>823</v>
      </c>
      <c r="I301" s="20" t="s">
        <v>822</v>
      </c>
      <c r="J301" s="21">
        <f t="shared" ca="1" si="8"/>
        <v>346</v>
      </c>
      <c r="K301" s="20" t="str">
        <f t="shared" ca="1" si="9"/>
        <v>Overdue</v>
      </c>
    </row>
    <row r="302" spans="1:11" x14ac:dyDescent="0.3">
      <c r="A302" s="18" t="s">
        <v>309</v>
      </c>
      <c r="B302" s="18" t="s">
        <v>809</v>
      </c>
      <c r="C302" s="19">
        <v>45833</v>
      </c>
      <c r="D302" s="19">
        <v>45863</v>
      </c>
      <c r="E302" s="17">
        <v>1477.77</v>
      </c>
      <c r="F302" s="20" t="s">
        <v>817</v>
      </c>
      <c r="G302" s="20" t="s">
        <v>819</v>
      </c>
      <c r="H302" s="20" t="s">
        <v>823</v>
      </c>
      <c r="I302" s="20" t="s">
        <v>822</v>
      </c>
      <c r="J302" s="21">
        <f t="shared" ca="1" si="8"/>
        <v>332</v>
      </c>
      <c r="K302" s="20" t="str">
        <f t="shared" ca="1" si="9"/>
        <v>Overdue</v>
      </c>
    </row>
    <row r="303" spans="1:11" x14ac:dyDescent="0.3">
      <c r="A303" s="18" t="s">
        <v>310</v>
      </c>
      <c r="B303" s="18" t="s">
        <v>810</v>
      </c>
      <c r="C303" s="19">
        <v>45717</v>
      </c>
      <c r="D303" s="19">
        <v>45747</v>
      </c>
      <c r="E303" s="17">
        <v>4772.12</v>
      </c>
      <c r="F303" s="20" t="s">
        <v>817</v>
      </c>
      <c r="G303" s="20" t="s">
        <v>821</v>
      </c>
      <c r="H303" s="22">
        <v>45747</v>
      </c>
      <c r="I303" s="20" t="s">
        <v>822</v>
      </c>
      <c r="J303" s="21">
        <f t="shared" ca="1" si="8"/>
        <v>448</v>
      </c>
      <c r="K303" s="20" t="str">
        <f t="shared" ca="1" si="9"/>
        <v>OK</v>
      </c>
    </row>
    <row r="304" spans="1:11" x14ac:dyDescent="0.3">
      <c r="A304" s="18" t="s">
        <v>311</v>
      </c>
      <c r="B304" s="18" t="s">
        <v>813</v>
      </c>
      <c r="C304" s="19">
        <v>45035</v>
      </c>
      <c r="D304" s="19">
        <v>45065</v>
      </c>
      <c r="E304" s="17">
        <v>2860.03</v>
      </c>
      <c r="F304" s="20" t="s">
        <v>818</v>
      </c>
      <c r="G304" s="20" t="s">
        <v>821</v>
      </c>
      <c r="H304" s="22">
        <v>45065</v>
      </c>
      <c r="I304" s="20" t="s">
        <v>822</v>
      </c>
      <c r="J304" s="21">
        <f t="shared" ca="1" si="8"/>
        <v>1130</v>
      </c>
      <c r="K304" s="20" t="str">
        <f t="shared" ca="1" si="9"/>
        <v>OK</v>
      </c>
    </row>
    <row r="305" spans="1:11" x14ac:dyDescent="0.3">
      <c r="A305" s="18" t="s">
        <v>312</v>
      </c>
      <c r="B305" s="18" t="s">
        <v>813</v>
      </c>
      <c r="C305" s="19">
        <v>45504</v>
      </c>
      <c r="D305" s="19">
        <v>45534</v>
      </c>
      <c r="E305" s="17">
        <v>1886.55</v>
      </c>
      <c r="F305" s="20" t="s">
        <v>818</v>
      </c>
      <c r="G305" s="20" t="s">
        <v>820</v>
      </c>
      <c r="H305" s="20" t="s">
        <v>823</v>
      </c>
      <c r="I305" s="20" t="s">
        <v>822</v>
      </c>
      <c r="J305" s="21">
        <f t="shared" ca="1" si="8"/>
        <v>661</v>
      </c>
      <c r="K305" s="20" t="str">
        <f t="shared" ca="1" si="9"/>
        <v>Overdue</v>
      </c>
    </row>
    <row r="306" spans="1:11" x14ac:dyDescent="0.3">
      <c r="A306" s="18" t="s">
        <v>313</v>
      </c>
      <c r="B306" s="18" t="s">
        <v>809</v>
      </c>
      <c r="C306" s="19">
        <v>45449</v>
      </c>
      <c r="D306" s="19">
        <v>45479</v>
      </c>
      <c r="E306" s="17">
        <v>4336.49</v>
      </c>
      <c r="F306" s="20" t="s">
        <v>818</v>
      </c>
      <c r="G306" s="20" t="s">
        <v>819</v>
      </c>
      <c r="H306" s="20" t="s">
        <v>823</v>
      </c>
      <c r="I306" s="20" t="s">
        <v>822</v>
      </c>
      <c r="J306" s="21">
        <f t="shared" ca="1" si="8"/>
        <v>716</v>
      </c>
      <c r="K306" s="20" t="str">
        <f t="shared" ca="1" si="9"/>
        <v>Overdue</v>
      </c>
    </row>
    <row r="307" spans="1:11" x14ac:dyDescent="0.3">
      <c r="A307" s="18" t="s">
        <v>314</v>
      </c>
      <c r="B307" s="18" t="s">
        <v>809</v>
      </c>
      <c r="C307" s="19">
        <v>45256</v>
      </c>
      <c r="D307" s="19">
        <v>45286</v>
      </c>
      <c r="E307" s="17">
        <v>4046.8</v>
      </c>
      <c r="F307" s="20" t="s">
        <v>817</v>
      </c>
      <c r="G307" s="20" t="s">
        <v>820</v>
      </c>
      <c r="H307" s="20" t="s">
        <v>823</v>
      </c>
      <c r="I307" s="20" t="s">
        <v>822</v>
      </c>
      <c r="J307" s="21">
        <f t="shared" ca="1" si="8"/>
        <v>909</v>
      </c>
      <c r="K307" s="20" t="str">
        <f t="shared" ca="1" si="9"/>
        <v>Overdue</v>
      </c>
    </row>
    <row r="308" spans="1:11" x14ac:dyDescent="0.3">
      <c r="A308" s="18" t="s">
        <v>315</v>
      </c>
      <c r="B308" s="18" t="s">
        <v>809</v>
      </c>
      <c r="C308" s="19">
        <v>45787</v>
      </c>
      <c r="D308" s="19">
        <v>45817</v>
      </c>
      <c r="E308" s="17">
        <v>3387.6</v>
      </c>
      <c r="F308" s="20" t="s">
        <v>818</v>
      </c>
      <c r="G308" s="20" t="s">
        <v>821</v>
      </c>
      <c r="H308" s="22">
        <v>45817</v>
      </c>
      <c r="I308" s="20" t="s">
        <v>822</v>
      </c>
      <c r="J308" s="21">
        <f t="shared" ca="1" si="8"/>
        <v>378</v>
      </c>
      <c r="K308" s="20" t="str">
        <f t="shared" ca="1" si="9"/>
        <v>OK</v>
      </c>
    </row>
    <row r="309" spans="1:11" x14ac:dyDescent="0.3">
      <c r="A309" s="18" t="s">
        <v>316</v>
      </c>
      <c r="B309" s="18" t="s">
        <v>812</v>
      </c>
      <c r="C309" s="19">
        <v>45679</v>
      </c>
      <c r="D309" s="19">
        <v>45709</v>
      </c>
      <c r="E309" s="17">
        <v>4207.8599999999997</v>
      </c>
      <c r="F309" s="20" t="s">
        <v>814</v>
      </c>
      <c r="G309" s="20" t="s">
        <v>819</v>
      </c>
      <c r="H309" s="20" t="s">
        <v>823</v>
      </c>
      <c r="I309" s="20" t="s">
        <v>822</v>
      </c>
      <c r="J309" s="21">
        <f t="shared" ca="1" si="8"/>
        <v>486</v>
      </c>
      <c r="K309" s="20" t="str">
        <f t="shared" ca="1" si="9"/>
        <v>Overdue</v>
      </c>
    </row>
    <row r="310" spans="1:11" x14ac:dyDescent="0.3">
      <c r="A310" s="18" t="s">
        <v>317</v>
      </c>
      <c r="B310" s="18" t="s">
        <v>813</v>
      </c>
      <c r="C310" s="19">
        <v>45320</v>
      </c>
      <c r="D310" s="19">
        <v>45350</v>
      </c>
      <c r="E310" s="17">
        <v>2784.29</v>
      </c>
      <c r="F310" s="20" t="s">
        <v>815</v>
      </c>
      <c r="G310" s="20" t="s">
        <v>819</v>
      </c>
      <c r="H310" s="20" t="s">
        <v>823</v>
      </c>
      <c r="I310" s="20" t="s">
        <v>822</v>
      </c>
      <c r="J310" s="21">
        <f t="shared" ca="1" si="8"/>
        <v>845</v>
      </c>
      <c r="K310" s="20" t="str">
        <f t="shared" ca="1" si="9"/>
        <v>Overdue</v>
      </c>
    </row>
    <row r="311" spans="1:11" x14ac:dyDescent="0.3">
      <c r="A311" s="18" t="s">
        <v>318</v>
      </c>
      <c r="B311" s="18" t="s">
        <v>813</v>
      </c>
      <c r="C311" s="19">
        <v>45576</v>
      </c>
      <c r="D311" s="19">
        <v>45606</v>
      </c>
      <c r="E311" s="17">
        <v>2721.22</v>
      </c>
      <c r="F311" s="20" t="s">
        <v>816</v>
      </c>
      <c r="G311" s="20" t="s">
        <v>820</v>
      </c>
      <c r="H311" s="20" t="s">
        <v>823</v>
      </c>
      <c r="I311" s="20" t="s">
        <v>822</v>
      </c>
      <c r="J311" s="21">
        <f t="shared" ca="1" si="8"/>
        <v>589</v>
      </c>
      <c r="K311" s="20" t="str">
        <f t="shared" ca="1" si="9"/>
        <v>Overdue</v>
      </c>
    </row>
    <row r="312" spans="1:11" x14ac:dyDescent="0.3">
      <c r="A312" s="18" t="s">
        <v>319</v>
      </c>
      <c r="B312" s="18" t="s">
        <v>810</v>
      </c>
      <c r="C312" s="19">
        <v>44993</v>
      </c>
      <c r="D312" s="19">
        <v>45023</v>
      </c>
      <c r="E312" s="17">
        <v>1741.36</v>
      </c>
      <c r="F312" s="20" t="s">
        <v>815</v>
      </c>
      <c r="G312" s="20" t="s">
        <v>820</v>
      </c>
      <c r="H312" s="20" t="s">
        <v>823</v>
      </c>
      <c r="I312" s="20" t="s">
        <v>822</v>
      </c>
      <c r="J312" s="21">
        <f t="shared" ca="1" si="8"/>
        <v>1172</v>
      </c>
      <c r="K312" s="20" t="str">
        <f t="shared" ca="1" si="9"/>
        <v>Overdue</v>
      </c>
    </row>
    <row r="313" spans="1:11" x14ac:dyDescent="0.3">
      <c r="A313" s="18" t="s">
        <v>320</v>
      </c>
      <c r="B313" s="18" t="s">
        <v>813</v>
      </c>
      <c r="C313" s="19">
        <v>45465</v>
      </c>
      <c r="D313" s="19">
        <v>45495</v>
      </c>
      <c r="E313" s="17">
        <v>4981.4399999999996</v>
      </c>
      <c r="F313" s="20" t="s">
        <v>817</v>
      </c>
      <c r="G313" s="20" t="s">
        <v>821</v>
      </c>
      <c r="H313" s="22">
        <v>45495</v>
      </c>
      <c r="I313" s="20" t="s">
        <v>822</v>
      </c>
      <c r="J313" s="21">
        <f t="shared" ca="1" si="8"/>
        <v>700</v>
      </c>
      <c r="K313" s="20" t="str">
        <f t="shared" ca="1" si="9"/>
        <v>OK</v>
      </c>
    </row>
    <row r="314" spans="1:11" x14ac:dyDescent="0.3">
      <c r="A314" s="18" t="s">
        <v>321</v>
      </c>
      <c r="B314" s="18" t="s">
        <v>811</v>
      </c>
      <c r="C314" s="19">
        <v>45062</v>
      </c>
      <c r="D314" s="19">
        <v>45092</v>
      </c>
      <c r="E314" s="17">
        <v>2244.6799999999998</v>
      </c>
      <c r="F314" s="20" t="s">
        <v>814</v>
      </c>
      <c r="G314" s="20" t="s">
        <v>819</v>
      </c>
      <c r="H314" s="20" t="s">
        <v>823</v>
      </c>
      <c r="I314" s="20" t="s">
        <v>822</v>
      </c>
      <c r="J314" s="21">
        <f t="shared" ca="1" si="8"/>
        <v>1103</v>
      </c>
      <c r="K314" s="20" t="str">
        <f t="shared" ca="1" si="9"/>
        <v>Overdue</v>
      </c>
    </row>
    <row r="315" spans="1:11" x14ac:dyDescent="0.3">
      <c r="A315" s="18" t="s">
        <v>322</v>
      </c>
      <c r="B315" s="18" t="s">
        <v>809</v>
      </c>
      <c r="C315" s="19">
        <v>45567</v>
      </c>
      <c r="D315" s="19">
        <v>45597</v>
      </c>
      <c r="E315" s="17">
        <v>660.06</v>
      </c>
      <c r="F315" s="20" t="s">
        <v>818</v>
      </c>
      <c r="G315" s="20" t="s">
        <v>821</v>
      </c>
      <c r="H315" s="22">
        <v>45597</v>
      </c>
      <c r="I315" s="20" t="s">
        <v>822</v>
      </c>
      <c r="J315" s="21">
        <f t="shared" ca="1" si="8"/>
        <v>598</v>
      </c>
      <c r="K315" s="20" t="str">
        <f t="shared" ca="1" si="9"/>
        <v>OK</v>
      </c>
    </row>
    <row r="316" spans="1:11" x14ac:dyDescent="0.3">
      <c r="A316" s="18" t="s">
        <v>323</v>
      </c>
      <c r="B316" s="18" t="s">
        <v>812</v>
      </c>
      <c r="C316" s="19">
        <v>45722</v>
      </c>
      <c r="D316" s="19">
        <v>45752</v>
      </c>
      <c r="E316" s="17">
        <v>2932.27</v>
      </c>
      <c r="F316" s="20" t="s">
        <v>818</v>
      </c>
      <c r="G316" s="20" t="s">
        <v>821</v>
      </c>
      <c r="H316" s="22">
        <v>45752</v>
      </c>
      <c r="I316" s="20" t="s">
        <v>822</v>
      </c>
      <c r="J316" s="21">
        <f t="shared" ca="1" si="8"/>
        <v>443</v>
      </c>
      <c r="K316" s="20" t="str">
        <f t="shared" ca="1" si="9"/>
        <v>OK</v>
      </c>
    </row>
    <row r="317" spans="1:11" x14ac:dyDescent="0.3">
      <c r="A317" s="18" t="s">
        <v>324</v>
      </c>
      <c r="B317" s="18" t="s">
        <v>812</v>
      </c>
      <c r="C317" s="19">
        <v>45511</v>
      </c>
      <c r="D317" s="19">
        <v>45541</v>
      </c>
      <c r="E317" s="17">
        <v>451.25</v>
      </c>
      <c r="F317" s="20" t="s">
        <v>816</v>
      </c>
      <c r="G317" s="20" t="s">
        <v>819</v>
      </c>
      <c r="H317" s="20" t="s">
        <v>823</v>
      </c>
      <c r="I317" s="20" t="s">
        <v>822</v>
      </c>
      <c r="J317" s="21">
        <f t="shared" ca="1" si="8"/>
        <v>654</v>
      </c>
      <c r="K317" s="20" t="str">
        <f t="shared" ca="1" si="9"/>
        <v>Overdue</v>
      </c>
    </row>
    <row r="318" spans="1:11" x14ac:dyDescent="0.3">
      <c r="A318" s="18" t="s">
        <v>325</v>
      </c>
      <c r="B318" s="18" t="s">
        <v>810</v>
      </c>
      <c r="C318" s="19">
        <v>45838</v>
      </c>
      <c r="D318" s="19">
        <v>45868</v>
      </c>
      <c r="E318" s="17">
        <v>2665.5</v>
      </c>
      <c r="F318" s="20" t="s">
        <v>815</v>
      </c>
      <c r="G318" s="20" t="s">
        <v>820</v>
      </c>
      <c r="H318" s="20" t="s">
        <v>823</v>
      </c>
      <c r="I318" s="20" t="s">
        <v>822</v>
      </c>
      <c r="J318" s="21">
        <f t="shared" ca="1" si="8"/>
        <v>327</v>
      </c>
      <c r="K318" s="20" t="str">
        <f t="shared" ca="1" si="9"/>
        <v>Overdue</v>
      </c>
    </row>
    <row r="319" spans="1:11" x14ac:dyDescent="0.3">
      <c r="A319" s="18" t="s">
        <v>326</v>
      </c>
      <c r="B319" s="18" t="s">
        <v>809</v>
      </c>
      <c r="C319" s="19">
        <v>45707</v>
      </c>
      <c r="D319" s="19">
        <v>45737</v>
      </c>
      <c r="E319" s="17">
        <v>1471.82</v>
      </c>
      <c r="F319" s="20" t="s">
        <v>817</v>
      </c>
      <c r="G319" s="20" t="s">
        <v>819</v>
      </c>
      <c r="H319" s="20" t="s">
        <v>823</v>
      </c>
      <c r="I319" s="20" t="s">
        <v>822</v>
      </c>
      <c r="J319" s="21">
        <f t="shared" ca="1" si="8"/>
        <v>458</v>
      </c>
      <c r="K319" s="20" t="str">
        <f t="shared" ca="1" si="9"/>
        <v>Overdue</v>
      </c>
    </row>
    <row r="320" spans="1:11" x14ac:dyDescent="0.3">
      <c r="A320" s="18" t="s">
        <v>327</v>
      </c>
      <c r="B320" s="18" t="s">
        <v>811</v>
      </c>
      <c r="C320" s="19">
        <v>45391</v>
      </c>
      <c r="D320" s="19">
        <v>45421</v>
      </c>
      <c r="E320" s="17">
        <v>1830.02</v>
      </c>
      <c r="F320" s="20" t="s">
        <v>816</v>
      </c>
      <c r="G320" s="20" t="s">
        <v>821</v>
      </c>
      <c r="H320" s="22">
        <v>45421</v>
      </c>
      <c r="I320" s="20" t="s">
        <v>822</v>
      </c>
      <c r="J320" s="21">
        <f t="shared" ca="1" si="8"/>
        <v>774</v>
      </c>
      <c r="K320" s="20" t="str">
        <f t="shared" ca="1" si="9"/>
        <v>OK</v>
      </c>
    </row>
    <row r="321" spans="1:11" x14ac:dyDescent="0.3">
      <c r="A321" s="18" t="s">
        <v>328</v>
      </c>
      <c r="B321" s="18" t="s">
        <v>811</v>
      </c>
      <c r="C321" s="19">
        <v>44979</v>
      </c>
      <c r="D321" s="19">
        <v>45009</v>
      </c>
      <c r="E321" s="17">
        <v>4995.3900000000003</v>
      </c>
      <c r="F321" s="20" t="s">
        <v>815</v>
      </c>
      <c r="G321" s="20" t="s">
        <v>820</v>
      </c>
      <c r="H321" s="20" t="s">
        <v>823</v>
      </c>
      <c r="I321" s="20" t="s">
        <v>822</v>
      </c>
      <c r="J321" s="21">
        <f t="shared" ca="1" si="8"/>
        <v>1186</v>
      </c>
      <c r="K321" s="20" t="str">
        <f t="shared" ca="1" si="9"/>
        <v>Overdue</v>
      </c>
    </row>
    <row r="322" spans="1:11" x14ac:dyDescent="0.3">
      <c r="A322" s="18" t="s">
        <v>329</v>
      </c>
      <c r="B322" s="18" t="s">
        <v>811</v>
      </c>
      <c r="C322" s="19">
        <v>45068</v>
      </c>
      <c r="D322" s="19">
        <v>45098</v>
      </c>
      <c r="E322" s="17">
        <v>4822.93</v>
      </c>
      <c r="F322" s="20" t="s">
        <v>818</v>
      </c>
      <c r="G322" s="20" t="s">
        <v>820</v>
      </c>
      <c r="H322" s="20" t="s">
        <v>823</v>
      </c>
      <c r="I322" s="20" t="s">
        <v>822</v>
      </c>
      <c r="J322" s="21">
        <f t="shared" ref="J322:J385" ca="1" si="10">TODAY()-D322</f>
        <v>1097</v>
      </c>
      <c r="K322" s="20" t="str">
        <f t="shared" ref="K322:K385" ca="1" si="11">IF(AND(TODAY()&gt;D322,G322&lt;&gt;"Paid"),"Overdue","OK")</f>
        <v>Overdue</v>
      </c>
    </row>
    <row r="323" spans="1:11" x14ac:dyDescent="0.3">
      <c r="A323" s="18" t="s">
        <v>330</v>
      </c>
      <c r="B323" s="18" t="s">
        <v>809</v>
      </c>
      <c r="C323" s="19">
        <v>44928</v>
      </c>
      <c r="D323" s="19">
        <v>44958</v>
      </c>
      <c r="E323" s="17">
        <v>1174.97</v>
      </c>
      <c r="F323" s="20" t="s">
        <v>817</v>
      </c>
      <c r="G323" s="20" t="s">
        <v>821</v>
      </c>
      <c r="H323" s="22">
        <v>44958</v>
      </c>
      <c r="I323" s="20" t="s">
        <v>822</v>
      </c>
      <c r="J323" s="21">
        <f t="shared" ca="1" si="10"/>
        <v>1237</v>
      </c>
      <c r="K323" s="20" t="str">
        <f t="shared" ca="1" si="11"/>
        <v>OK</v>
      </c>
    </row>
    <row r="324" spans="1:11" x14ac:dyDescent="0.3">
      <c r="A324" s="18" t="s">
        <v>331</v>
      </c>
      <c r="B324" s="18" t="s">
        <v>812</v>
      </c>
      <c r="C324" s="19">
        <v>45387</v>
      </c>
      <c r="D324" s="19">
        <v>45417</v>
      </c>
      <c r="E324" s="17">
        <v>1018.67</v>
      </c>
      <c r="F324" s="20" t="s">
        <v>814</v>
      </c>
      <c r="G324" s="20" t="s">
        <v>820</v>
      </c>
      <c r="H324" s="20" t="s">
        <v>823</v>
      </c>
      <c r="I324" s="20" t="s">
        <v>822</v>
      </c>
      <c r="J324" s="21">
        <f t="shared" ca="1" si="10"/>
        <v>778</v>
      </c>
      <c r="K324" s="20" t="str">
        <f t="shared" ca="1" si="11"/>
        <v>Overdue</v>
      </c>
    </row>
    <row r="325" spans="1:11" x14ac:dyDescent="0.3">
      <c r="A325" s="18" t="s">
        <v>332</v>
      </c>
      <c r="B325" s="18" t="s">
        <v>813</v>
      </c>
      <c r="C325" s="19">
        <v>45528</v>
      </c>
      <c r="D325" s="19">
        <v>45558</v>
      </c>
      <c r="E325" s="17">
        <v>525.23</v>
      </c>
      <c r="F325" s="20" t="s">
        <v>818</v>
      </c>
      <c r="G325" s="20" t="s">
        <v>819</v>
      </c>
      <c r="H325" s="20" t="s">
        <v>823</v>
      </c>
      <c r="I325" s="20" t="s">
        <v>822</v>
      </c>
      <c r="J325" s="21">
        <f t="shared" ca="1" si="10"/>
        <v>637</v>
      </c>
      <c r="K325" s="20" t="str">
        <f t="shared" ca="1" si="11"/>
        <v>Overdue</v>
      </c>
    </row>
    <row r="326" spans="1:11" x14ac:dyDescent="0.3">
      <c r="A326" s="18" t="s">
        <v>333</v>
      </c>
      <c r="B326" s="18" t="s">
        <v>813</v>
      </c>
      <c r="C326" s="19">
        <v>45014</v>
      </c>
      <c r="D326" s="19">
        <v>45044</v>
      </c>
      <c r="E326" s="17">
        <v>4607.07</v>
      </c>
      <c r="F326" s="20" t="s">
        <v>817</v>
      </c>
      <c r="G326" s="20" t="s">
        <v>819</v>
      </c>
      <c r="H326" s="20" t="s">
        <v>823</v>
      </c>
      <c r="I326" s="20" t="s">
        <v>822</v>
      </c>
      <c r="J326" s="21">
        <f t="shared" ca="1" si="10"/>
        <v>1151</v>
      </c>
      <c r="K326" s="20" t="str">
        <f t="shared" ca="1" si="11"/>
        <v>Overdue</v>
      </c>
    </row>
    <row r="327" spans="1:11" x14ac:dyDescent="0.3">
      <c r="A327" s="18" t="s">
        <v>334</v>
      </c>
      <c r="B327" s="18" t="s">
        <v>809</v>
      </c>
      <c r="C327" s="19">
        <v>45054</v>
      </c>
      <c r="D327" s="19">
        <v>45084</v>
      </c>
      <c r="E327" s="17">
        <v>2792.15</v>
      </c>
      <c r="F327" s="20" t="s">
        <v>815</v>
      </c>
      <c r="G327" s="20" t="s">
        <v>821</v>
      </c>
      <c r="H327" s="22">
        <v>45084</v>
      </c>
      <c r="I327" s="20" t="s">
        <v>822</v>
      </c>
      <c r="J327" s="21">
        <f t="shared" ca="1" si="10"/>
        <v>1111</v>
      </c>
      <c r="K327" s="20" t="str">
        <f t="shared" ca="1" si="11"/>
        <v>OK</v>
      </c>
    </row>
    <row r="328" spans="1:11" x14ac:dyDescent="0.3">
      <c r="A328" s="18" t="s">
        <v>335</v>
      </c>
      <c r="B328" s="18" t="s">
        <v>809</v>
      </c>
      <c r="C328" s="19">
        <v>45511</v>
      </c>
      <c r="D328" s="19">
        <v>45541</v>
      </c>
      <c r="E328" s="17">
        <v>3719.04</v>
      </c>
      <c r="F328" s="20" t="s">
        <v>816</v>
      </c>
      <c r="G328" s="20" t="s">
        <v>819</v>
      </c>
      <c r="H328" s="20" t="s">
        <v>823</v>
      </c>
      <c r="I328" s="20" t="s">
        <v>822</v>
      </c>
      <c r="J328" s="21">
        <f t="shared" ca="1" si="10"/>
        <v>654</v>
      </c>
      <c r="K328" s="20" t="str">
        <f t="shared" ca="1" si="11"/>
        <v>Overdue</v>
      </c>
    </row>
    <row r="329" spans="1:11" x14ac:dyDescent="0.3">
      <c r="A329" s="18" t="s">
        <v>336</v>
      </c>
      <c r="B329" s="18" t="s">
        <v>810</v>
      </c>
      <c r="C329" s="19">
        <v>45576</v>
      </c>
      <c r="D329" s="19">
        <v>45606</v>
      </c>
      <c r="E329" s="17">
        <v>4169.05</v>
      </c>
      <c r="F329" s="20" t="s">
        <v>814</v>
      </c>
      <c r="G329" s="20" t="s">
        <v>821</v>
      </c>
      <c r="H329" s="22">
        <v>45606</v>
      </c>
      <c r="I329" s="20" t="s">
        <v>822</v>
      </c>
      <c r="J329" s="21">
        <f t="shared" ca="1" si="10"/>
        <v>589</v>
      </c>
      <c r="K329" s="20" t="str">
        <f t="shared" ca="1" si="11"/>
        <v>OK</v>
      </c>
    </row>
    <row r="330" spans="1:11" x14ac:dyDescent="0.3">
      <c r="A330" s="18" t="s">
        <v>337</v>
      </c>
      <c r="B330" s="18" t="s">
        <v>812</v>
      </c>
      <c r="C330" s="19">
        <v>45643</v>
      </c>
      <c r="D330" s="19">
        <v>45673</v>
      </c>
      <c r="E330" s="17">
        <v>1405.35</v>
      </c>
      <c r="F330" s="20" t="s">
        <v>818</v>
      </c>
      <c r="G330" s="20" t="s">
        <v>819</v>
      </c>
      <c r="H330" s="20" t="s">
        <v>823</v>
      </c>
      <c r="I330" s="20" t="s">
        <v>822</v>
      </c>
      <c r="J330" s="21">
        <f t="shared" ca="1" si="10"/>
        <v>522</v>
      </c>
      <c r="K330" s="20" t="str">
        <f t="shared" ca="1" si="11"/>
        <v>Overdue</v>
      </c>
    </row>
    <row r="331" spans="1:11" x14ac:dyDescent="0.3">
      <c r="A331" s="18" t="s">
        <v>338</v>
      </c>
      <c r="B331" s="18" t="s">
        <v>812</v>
      </c>
      <c r="C331" s="19">
        <v>45401</v>
      </c>
      <c r="D331" s="19">
        <v>45431</v>
      </c>
      <c r="E331" s="17">
        <v>4512.4399999999996</v>
      </c>
      <c r="F331" s="20" t="s">
        <v>818</v>
      </c>
      <c r="G331" s="20" t="s">
        <v>820</v>
      </c>
      <c r="H331" s="20" t="s">
        <v>823</v>
      </c>
      <c r="I331" s="20" t="s">
        <v>822</v>
      </c>
      <c r="J331" s="21">
        <f t="shared" ca="1" si="10"/>
        <v>764</v>
      </c>
      <c r="K331" s="20" t="str">
        <f t="shared" ca="1" si="11"/>
        <v>Overdue</v>
      </c>
    </row>
    <row r="332" spans="1:11" x14ac:dyDescent="0.3">
      <c r="A332" s="18" t="s">
        <v>339</v>
      </c>
      <c r="B332" s="18" t="s">
        <v>811</v>
      </c>
      <c r="C332" s="19">
        <v>45395</v>
      </c>
      <c r="D332" s="19">
        <v>45425</v>
      </c>
      <c r="E332" s="17">
        <v>1855.47</v>
      </c>
      <c r="F332" s="20" t="s">
        <v>814</v>
      </c>
      <c r="G332" s="20" t="s">
        <v>819</v>
      </c>
      <c r="H332" s="20" t="s">
        <v>823</v>
      </c>
      <c r="I332" s="20" t="s">
        <v>822</v>
      </c>
      <c r="J332" s="21">
        <f t="shared" ca="1" si="10"/>
        <v>770</v>
      </c>
      <c r="K332" s="20" t="str">
        <f t="shared" ca="1" si="11"/>
        <v>Overdue</v>
      </c>
    </row>
    <row r="333" spans="1:11" x14ac:dyDescent="0.3">
      <c r="A333" s="18" t="s">
        <v>340</v>
      </c>
      <c r="B333" s="18" t="s">
        <v>810</v>
      </c>
      <c r="C333" s="19">
        <v>45633</v>
      </c>
      <c r="D333" s="19">
        <v>45663</v>
      </c>
      <c r="E333" s="17">
        <v>1596.9</v>
      </c>
      <c r="F333" s="20" t="s">
        <v>815</v>
      </c>
      <c r="G333" s="20" t="s">
        <v>821</v>
      </c>
      <c r="H333" s="22">
        <v>45663</v>
      </c>
      <c r="I333" s="20" t="s">
        <v>822</v>
      </c>
      <c r="J333" s="21">
        <f t="shared" ca="1" si="10"/>
        <v>532</v>
      </c>
      <c r="K333" s="20" t="str">
        <f t="shared" ca="1" si="11"/>
        <v>OK</v>
      </c>
    </row>
    <row r="334" spans="1:11" x14ac:dyDescent="0.3">
      <c r="A334" s="18" t="s">
        <v>341</v>
      </c>
      <c r="B334" s="18" t="s">
        <v>810</v>
      </c>
      <c r="C334" s="19">
        <v>44949</v>
      </c>
      <c r="D334" s="19">
        <v>44979</v>
      </c>
      <c r="E334" s="17">
        <v>176.54</v>
      </c>
      <c r="F334" s="20" t="s">
        <v>815</v>
      </c>
      <c r="G334" s="20" t="s">
        <v>821</v>
      </c>
      <c r="H334" s="22">
        <v>44979</v>
      </c>
      <c r="I334" s="20" t="s">
        <v>822</v>
      </c>
      <c r="J334" s="21">
        <f t="shared" ca="1" si="10"/>
        <v>1216</v>
      </c>
      <c r="K334" s="20" t="str">
        <f t="shared" ca="1" si="11"/>
        <v>OK</v>
      </c>
    </row>
    <row r="335" spans="1:11" x14ac:dyDescent="0.3">
      <c r="A335" s="18" t="s">
        <v>342</v>
      </c>
      <c r="B335" s="18" t="s">
        <v>811</v>
      </c>
      <c r="C335" s="19">
        <v>45705</v>
      </c>
      <c r="D335" s="19">
        <v>45735</v>
      </c>
      <c r="E335" s="17">
        <v>1225.82</v>
      </c>
      <c r="F335" s="20" t="s">
        <v>815</v>
      </c>
      <c r="G335" s="20" t="s">
        <v>819</v>
      </c>
      <c r="H335" s="20" t="s">
        <v>823</v>
      </c>
      <c r="I335" s="20" t="s">
        <v>822</v>
      </c>
      <c r="J335" s="21">
        <f t="shared" ca="1" si="10"/>
        <v>460</v>
      </c>
      <c r="K335" s="20" t="str">
        <f t="shared" ca="1" si="11"/>
        <v>Overdue</v>
      </c>
    </row>
    <row r="336" spans="1:11" x14ac:dyDescent="0.3">
      <c r="A336" s="18" t="s">
        <v>343</v>
      </c>
      <c r="B336" s="18" t="s">
        <v>809</v>
      </c>
      <c r="C336" s="19">
        <v>45321</v>
      </c>
      <c r="D336" s="19">
        <v>45351</v>
      </c>
      <c r="E336" s="17">
        <v>355.21</v>
      </c>
      <c r="F336" s="20" t="s">
        <v>815</v>
      </c>
      <c r="G336" s="20" t="s">
        <v>819</v>
      </c>
      <c r="H336" s="20" t="s">
        <v>823</v>
      </c>
      <c r="I336" s="20" t="s">
        <v>822</v>
      </c>
      <c r="J336" s="21">
        <f t="shared" ca="1" si="10"/>
        <v>844</v>
      </c>
      <c r="K336" s="20" t="str">
        <f t="shared" ca="1" si="11"/>
        <v>Overdue</v>
      </c>
    </row>
    <row r="337" spans="1:11" x14ac:dyDescent="0.3">
      <c r="A337" s="18" t="s">
        <v>344</v>
      </c>
      <c r="B337" s="18" t="s">
        <v>812</v>
      </c>
      <c r="C337" s="19">
        <v>45736</v>
      </c>
      <c r="D337" s="19">
        <v>45766</v>
      </c>
      <c r="E337" s="17">
        <v>4628.8599999999997</v>
      </c>
      <c r="F337" s="20" t="s">
        <v>814</v>
      </c>
      <c r="G337" s="20" t="s">
        <v>821</v>
      </c>
      <c r="H337" s="22">
        <v>45766</v>
      </c>
      <c r="I337" s="20" t="s">
        <v>822</v>
      </c>
      <c r="J337" s="21">
        <f t="shared" ca="1" si="10"/>
        <v>429</v>
      </c>
      <c r="K337" s="20" t="str">
        <f t="shared" ca="1" si="11"/>
        <v>OK</v>
      </c>
    </row>
    <row r="338" spans="1:11" x14ac:dyDescent="0.3">
      <c r="A338" s="18" t="s">
        <v>345</v>
      </c>
      <c r="B338" s="18" t="s">
        <v>813</v>
      </c>
      <c r="C338" s="19">
        <v>45268</v>
      </c>
      <c r="D338" s="19">
        <v>45298</v>
      </c>
      <c r="E338" s="17">
        <v>2845.8</v>
      </c>
      <c r="F338" s="20" t="s">
        <v>814</v>
      </c>
      <c r="G338" s="20" t="s">
        <v>820</v>
      </c>
      <c r="H338" s="20" t="s">
        <v>823</v>
      </c>
      <c r="I338" s="20" t="s">
        <v>822</v>
      </c>
      <c r="J338" s="21">
        <f t="shared" ca="1" si="10"/>
        <v>897</v>
      </c>
      <c r="K338" s="20" t="str">
        <f t="shared" ca="1" si="11"/>
        <v>Overdue</v>
      </c>
    </row>
    <row r="339" spans="1:11" x14ac:dyDescent="0.3">
      <c r="A339" s="18" t="s">
        <v>346</v>
      </c>
      <c r="B339" s="18" t="s">
        <v>811</v>
      </c>
      <c r="C339" s="19">
        <v>45810</v>
      </c>
      <c r="D339" s="19">
        <v>45840</v>
      </c>
      <c r="E339" s="17">
        <v>1566.29</v>
      </c>
      <c r="F339" s="20" t="s">
        <v>814</v>
      </c>
      <c r="G339" s="20" t="s">
        <v>819</v>
      </c>
      <c r="H339" s="20" t="s">
        <v>823</v>
      </c>
      <c r="I339" s="20" t="s">
        <v>822</v>
      </c>
      <c r="J339" s="21">
        <f t="shared" ca="1" si="10"/>
        <v>355</v>
      </c>
      <c r="K339" s="20" t="str">
        <f t="shared" ca="1" si="11"/>
        <v>Overdue</v>
      </c>
    </row>
    <row r="340" spans="1:11" x14ac:dyDescent="0.3">
      <c r="A340" s="18" t="s">
        <v>347</v>
      </c>
      <c r="B340" s="18" t="s">
        <v>812</v>
      </c>
      <c r="C340" s="19">
        <v>45235</v>
      </c>
      <c r="D340" s="19">
        <v>45265</v>
      </c>
      <c r="E340" s="17">
        <v>4917.53</v>
      </c>
      <c r="F340" s="20" t="s">
        <v>814</v>
      </c>
      <c r="G340" s="20" t="s">
        <v>821</v>
      </c>
      <c r="H340" s="22">
        <v>45265</v>
      </c>
      <c r="I340" s="20" t="s">
        <v>822</v>
      </c>
      <c r="J340" s="21">
        <f t="shared" ca="1" si="10"/>
        <v>930</v>
      </c>
      <c r="K340" s="20" t="str">
        <f t="shared" ca="1" si="11"/>
        <v>OK</v>
      </c>
    </row>
    <row r="341" spans="1:11" x14ac:dyDescent="0.3">
      <c r="A341" s="18" t="s">
        <v>348</v>
      </c>
      <c r="B341" s="18" t="s">
        <v>813</v>
      </c>
      <c r="C341" s="19">
        <v>45282</v>
      </c>
      <c r="D341" s="19">
        <v>45312</v>
      </c>
      <c r="E341" s="17">
        <v>2748.45</v>
      </c>
      <c r="F341" s="20" t="s">
        <v>816</v>
      </c>
      <c r="G341" s="20" t="s">
        <v>819</v>
      </c>
      <c r="H341" s="20" t="s">
        <v>823</v>
      </c>
      <c r="I341" s="20" t="s">
        <v>822</v>
      </c>
      <c r="J341" s="21">
        <f t="shared" ca="1" si="10"/>
        <v>883</v>
      </c>
      <c r="K341" s="20" t="str">
        <f t="shared" ca="1" si="11"/>
        <v>Overdue</v>
      </c>
    </row>
    <row r="342" spans="1:11" x14ac:dyDescent="0.3">
      <c r="A342" s="18" t="s">
        <v>349</v>
      </c>
      <c r="B342" s="18" t="s">
        <v>812</v>
      </c>
      <c r="C342" s="19">
        <v>45672</v>
      </c>
      <c r="D342" s="19">
        <v>45702</v>
      </c>
      <c r="E342" s="17">
        <v>2910.56</v>
      </c>
      <c r="F342" s="20" t="s">
        <v>818</v>
      </c>
      <c r="G342" s="20" t="s">
        <v>821</v>
      </c>
      <c r="H342" s="22">
        <v>45702</v>
      </c>
      <c r="I342" s="20" t="s">
        <v>822</v>
      </c>
      <c r="J342" s="21">
        <f t="shared" ca="1" si="10"/>
        <v>493</v>
      </c>
      <c r="K342" s="20" t="str">
        <f t="shared" ca="1" si="11"/>
        <v>OK</v>
      </c>
    </row>
    <row r="343" spans="1:11" x14ac:dyDescent="0.3">
      <c r="A343" s="18" t="s">
        <v>350</v>
      </c>
      <c r="B343" s="18" t="s">
        <v>811</v>
      </c>
      <c r="C343" s="19">
        <v>45831</v>
      </c>
      <c r="D343" s="19">
        <v>45861</v>
      </c>
      <c r="E343" s="17">
        <v>728.89</v>
      </c>
      <c r="F343" s="20" t="s">
        <v>817</v>
      </c>
      <c r="G343" s="20" t="s">
        <v>820</v>
      </c>
      <c r="H343" s="20" t="s">
        <v>823</v>
      </c>
      <c r="I343" s="20" t="s">
        <v>822</v>
      </c>
      <c r="J343" s="21">
        <f t="shared" ca="1" si="10"/>
        <v>334</v>
      </c>
      <c r="K343" s="20" t="str">
        <f t="shared" ca="1" si="11"/>
        <v>Overdue</v>
      </c>
    </row>
    <row r="344" spans="1:11" x14ac:dyDescent="0.3">
      <c r="A344" s="18" t="s">
        <v>351</v>
      </c>
      <c r="B344" s="18" t="s">
        <v>809</v>
      </c>
      <c r="C344" s="19">
        <v>44981</v>
      </c>
      <c r="D344" s="19">
        <v>45011</v>
      </c>
      <c r="E344" s="17">
        <v>1790.61</v>
      </c>
      <c r="F344" s="20" t="s">
        <v>817</v>
      </c>
      <c r="G344" s="20" t="s">
        <v>820</v>
      </c>
      <c r="H344" s="20" t="s">
        <v>823</v>
      </c>
      <c r="I344" s="20" t="s">
        <v>822</v>
      </c>
      <c r="J344" s="21">
        <f t="shared" ca="1" si="10"/>
        <v>1184</v>
      </c>
      <c r="K344" s="20" t="str">
        <f t="shared" ca="1" si="11"/>
        <v>Overdue</v>
      </c>
    </row>
    <row r="345" spans="1:11" x14ac:dyDescent="0.3">
      <c r="A345" s="18" t="s">
        <v>352</v>
      </c>
      <c r="B345" s="18" t="s">
        <v>812</v>
      </c>
      <c r="C345" s="19">
        <v>45358</v>
      </c>
      <c r="D345" s="19">
        <v>45388</v>
      </c>
      <c r="E345" s="17">
        <v>3085.28</v>
      </c>
      <c r="F345" s="20" t="s">
        <v>816</v>
      </c>
      <c r="G345" s="20" t="s">
        <v>821</v>
      </c>
      <c r="H345" s="22">
        <v>45388</v>
      </c>
      <c r="I345" s="20" t="s">
        <v>822</v>
      </c>
      <c r="J345" s="21">
        <f t="shared" ca="1" si="10"/>
        <v>807</v>
      </c>
      <c r="K345" s="20" t="str">
        <f t="shared" ca="1" si="11"/>
        <v>OK</v>
      </c>
    </row>
    <row r="346" spans="1:11" x14ac:dyDescent="0.3">
      <c r="A346" s="18" t="s">
        <v>353</v>
      </c>
      <c r="B346" s="18" t="s">
        <v>810</v>
      </c>
      <c r="C346" s="19">
        <v>45154</v>
      </c>
      <c r="D346" s="19">
        <v>45184</v>
      </c>
      <c r="E346" s="17">
        <v>899.5</v>
      </c>
      <c r="F346" s="20" t="s">
        <v>816</v>
      </c>
      <c r="G346" s="20" t="s">
        <v>819</v>
      </c>
      <c r="H346" s="20" t="s">
        <v>823</v>
      </c>
      <c r="I346" s="20" t="s">
        <v>822</v>
      </c>
      <c r="J346" s="21">
        <f t="shared" ca="1" si="10"/>
        <v>1011</v>
      </c>
      <c r="K346" s="20" t="str">
        <f t="shared" ca="1" si="11"/>
        <v>Overdue</v>
      </c>
    </row>
    <row r="347" spans="1:11" x14ac:dyDescent="0.3">
      <c r="A347" s="18" t="s">
        <v>354</v>
      </c>
      <c r="B347" s="18" t="s">
        <v>812</v>
      </c>
      <c r="C347" s="19">
        <v>44937</v>
      </c>
      <c r="D347" s="19">
        <v>44967</v>
      </c>
      <c r="E347" s="17">
        <v>1797.02</v>
      </c>
      <c r="F347" s="20" t="s">
        <v>817</v>
      </c>
      <c r="G347" s="20" t="s">
        <v>819</v>
      </c>
      <c r="H347" s="20" t="s">
        <v>823</v>
      </c>
      <c r="I347" s="20" t="s">
        <v>822</v>
      </c>
      <c r="J347" s="21">
        <f t="shared" ca="1" si="10"/>
        <v>1228</v>
      </c>
      <c r="K347" s="20" t="str">
        <f t="shared" ca="1" si="11"/>
        <v>Overdue</v>
      </c>
    </row>
    <row r="348" spans="1:11" x14ac:dyDescent="0.3">
      <c r="A348" s="18" t="s">
        <v>355</v>
      </c>
      <c r="B348" s="18" t="s">
        <v>811</v>
      </c>
      <c r="C348" s="19">
        <v>45169</v>
      </c>
      <c r="D348" s="19">
        <v>45199</v>
      </c>
      <c r="E348" s="17">
        <v>4901.42</v>
      </c>
      <c r="F348" s="20" t="s">
        <v>815</v>
      </c>
      <c r="G348" s="20" t="s">
        <v>819</v>
      </c>
      <c r="H348" s="20" t="s">
        <v>823</v>
      </c>
      <c r="I348" s="20" t="s">
        <v>822</v>
      </c>
      <c r="J348" s="21">
        <f t="shared" ca="1" si="10"/>
        <v>996</v>
      </c>
      <c r="K348" s="20" t="str">
        <f t="shared" ca="1" si="11"/>
        <v>Overdue</v>
      </c>
    </row>
    <row r="349" spans="1:11" x14ac:dyDescent="0.3">
      <c r="A349" s="18" t="s">
        <v>356</v>
      </c>
      <c r="B349" s="18" t="s">
        <v>812</v>
      </c>
      <c r="C349" s="19">
        <v>44962</v>
      </c>
      <c r="D349" s="19">
        <v>44992</v>
      </c>
      <c r="E349" s="17">
        <v>4612.1400000000003</v>
      </c>
      <c r="F349" s="20" t="s">
        <v>816</v>
      </c>
      <c r="G349" s="20" t="s">
        <v>821</v>
      </c>
      <c r="H349" s="22">
        <v>44992</v>
      </c>
      <c r="I349" s="20" t="s">
        <v>822</v>
      </c>
      <c r="J349" s="21">
        <f t="shared" ca="1" si="10"/>
        <v>1203</v>
      </c>
      <c r="K349" s="20" t="str">
        <f t="shared" ca="1" si="11"/>
        <v>OK</v>
      </c>
    </row>
    <row r="350" spans="1:11" x14ac:dyDescent="0.3">
      <c r="A350" s="18" t="s">
        <v>357</v>
      </c>
      <c r="B350" s="18" t="s">
        <v>809</v>
      </c>
      <c r="C350" s="19">
        <v>45452</v>
      </c>
      <c r="D350" s="19">
        <v>45482</v>
      </c>
      <c r="E350" s="17">
        <v>3151.2</v>
      </c>
      <c r="F350" s="20" t="s">
        <v>815</v>
      </c>
      <c r="G350" s="20" t="s">
        <v>820</v>
      </c>
      <c r="H350" s="20" t="s">
        <v>823</v>
      </c>
      <c r="I350" s="20" t="s">
        <v>822</v>
      </c>
      <c r="J350" s="21">
        <f t="shared" ca="1" si="10"/>
        <v>713</v>
      </c>
      <c r="K350" s="20" t="str">
        <f t="shared" ca="1" si="11"/>
        <v>Overdue</v>
      </c>
    </row>
    <row r="351" spans="1:11" x14ac:dyDescent="0.3">
      <c r="A351" s="18" t="s">
        <v>358</v>
      </c>
      <c r="B351" s="18" t="s">
        <v>812</v>
      </c>
      <c r="C351" s="19">
        <v>45372</v>
      </c>
      <c r="D351" s="19">
        <v>45402</v>
      </c>
      <c r="E351" s="17">
        <v>4219.03</v>
      </c>
      <c r="F351" s="20" t="s">
        <v>818</v>
      </c>
      <c r="G351" s="20" t="s">
        <v>821</v>
      </c>
      <c r="H351" s="22">
        <v>45402</v>
      </c>
      <c r="I351" s="20" t="s">
        <v>822</v>
      </c>
      <c r="J351" s="21">
        <f t="shared" ca="1" si="10"/>
        <v>793</v>
      </c>
      <c r="K351" s="20" t="str">
        <f t="shared" ca="1" si="11"/>
        <v>OK</v>
      </c>
    </row>
    <row r="352" spans="1:11" x14ac:dyDescent="0.3">
      <c r="A352" s="18" t="s">
        <v>359</v>
      </c>
      <c r="B352" s="18" t="s">
        <v>811</v>
      </c>
      <c r="C352" s="19">
        <v>45273</v>
      </c>
      <c r="D352" s="19">
        <v>45303</v>
      </c>
      <c r="E352" s="17">
        <v>4971.99</v>
      </c>
      <c r="F352" s="20" t="s">
        <v>814</v>
      </c>
      <c r="G352" s="20" t="s">
        <v>819</v>
      </c>
      <c r="H352" s="20" t="s">
        <v>823</v>
      </c>
      <c r="I352" s="20" t="s">
        <v>822</v>
      </c>
      <c r="J352" s="21">
        <f t="shared" ca="1" si="10"/>
        <v>892</v>
      </c>
      <c r="K352" s="20" t="str">
        <f t="shared" ca="1" si="11"/>
        <v>Overdue</v>
      </c>
    </row>
    <row r="353" spans="1:11" x14ac:dyDescent="0.3">
      <c r="A353" s="18" t="s">
        <v>360</v>
      </c>
      <c r="B353" s="18" t="s">
        <v>810</v>
      </c>
      <c r="C353" s="19">
        <v>45281</v>
      </c>
      <c r="D353" s="19">
        <v>45311</v>
      </c>
      <c r="E353" s="17">
        <v>3366.62</v>
      </c>
      <c r="F353" s="20" t="s">
        <v>816</v>
      </c>
      <c r="G353" s="20" t="s">
        <v>821</v>
      </c>
      <c r="H353" s="22">
        <v>45311</v>
      </c>
      <c r="I353" s="20" t="s">
        <v>822</v>
      </c>
      <c r="J353" s="21">
        <f t="shared" ca="1" si="10"/>
        <v>884</v>
      </c>
      <c r="K353" s="20" t="str">
        <f t="shared" ca="1" si="11"/>
        <v>OK</v>
      </c>
    </row>
    <row r="354" spans="1:11" x14ac:dyDescent="0.3">
      <c r="A354" s="18" t="s">
        <v>361</v>
      </c>
      <c r="B354" s="18" t="s">
        <v>813</v>
      </c>
      <c r="C354" s="19">
        <v>45735</v>
      </c>
      <c r="D354" s="19">
        <v>45765</v>
      </c>
      <c r="E354" s="17">
        <v>499.9</v>
      </c>
      <c r="F354" s="20" t="s">
        <v>815</v>
      </c>
      <c r="G354" s="20" t="s">
        <v>821</v>
      </c>
      <c r="H354" s="22">
        <v>45765</v>
      </c>
      <c r="I354" s="20" t="s">
        <v>822</v>
      </c>
      <c r="J354" s="21">
        <f t="shared" ca="1" si="10"/>
        <v>430</v>
      </c>
      <c r="K354" s="20" t="str">
        <f t="shared" ca="1" si="11"/>
        <v>OK</v>
      </c>
    </row>
    <row r="355" spans="1:11" x14ac:dyDescent="0.3">
      <c r="A355" s="18" t="s">
        <v>362</v>
      </c>
      <c r="B355" s="18" t="s">
        <v>810</v>
      </c>
      <c r="C355" s="19">
        <v>45197</v>
      </c>
      <c r="D355" s="19">
        <v>45227</v>
      </c>
      <c r="E355" s="17">
        <v>4834.01</v>
      </c>
      <c r="F355" s="20" t="s">
        <v>816</v>
      </c>
      <c r="G355" s="20" t="s">
        <v>821</v>
      </c>
      <c r="H355" s="22">
        <v>45227</v>
      </c>
      <c r="I355" s="20" t="s">
        <v>822</v>
      </c>
      <c r="J355" s="21">
        <f t="shared" ca="1" si="10"/>
        <v>968</v>
      </c>
      <c r="K355" s="20" t="str">
        <f t="shared" ca="1" si="11"/>
        <v>OK</v>
      </c>
    </row>
    <row r="356" spans="1:11" x14ac:dyDescent="0.3">
      <c r="A356" s="18" t="s">
        <v>363</v>
      </c>
      <c r="B356" s="18" t="s">
        <v>813</v>
      </c>
      <c r="C356" s="19">
        <v>45027</v>
      </c>
      <c r="D356" s="19">
        <v>45057</v>
      </c>
      <c r="E356" s="17">
        <v>1132.31</v>
      </c>
      <c r="F356" s="20" t="s">
        <v>817</v>
      </c>
      <c r="G356" s="20" t="s">
        <v>820</v>
      </c>
      <c r="H356" s="20" t="s">
        <v>823</v>
      </c>
      <c r="I356" s="20" t="s">
        <v>822</v>
      </c>
      <c r="J356" s="21">
        <f t="shared" ca="1" si="10"/>
        <v>1138</v>
      </c>
      <c r="K356" s="20" t="str">
        <f t="shared" ca="1" si="11"/>
        <v>Overdue</v>
      </c>
    </row>
    <row r="357" spans="1:11" x14ac:dyDescent="0.3">
      <c r="A357" s="18" t="s">
        <v>364</v>
      </c>
      <c r="B357" s="18" t="s">
        <v>813</v>
      </c>
      <c r="C357" s="19">
        <v>45797</v>
      </c>
      <c r="D357" s="19">
        <v>45827</v>
      </c>
      <c r="E357" s="17">
        <v>239.21</v>
      </c>
      <c r="F357" s="20" t="s">
        <v>814</v>
      </c>
      <c r="G357" s="20" t="s">
        <v>820</v>
      </c>
      <c r="H357" s="20" t="s">
        <v>823</v>
      </c>
      <c r="I357" s="20" t="s">
        <v>822</v>
      </c>
      <c r="J357" s="21">
        <f t="shared" ca="1" si="10"/>
        <v>368</v>
      </c>
      <c r="K357" s="20" t="str">
        <f t="shared" ca="1" si="11"/>
        <v>Overdue</v>
      </c>
    </row>
    <row r="358" spans="1:11" x14ac:dyDescent="0.3">
      <c r="A358" s="18" t="s">
        <v>365</v>
      </c>
      <c r="B358" s="18" t="s">
        <v>809</v>
      </c>
      <c r="C358" s="19">
        <v>45190</v>
      </c>
      <c r="D358" s="19">
        <v>45220</v>
      </c>
      <c r="E358" s="17">
        <v>1990.65</v>
      </c>
      <c r="F358" s="20" t="s">
        <v>814</v>
      </c>
      <c r="G358" s="20" t="s">
        <v>819</v>
      </c>
      <c r="H358" s="20" t="s">
        <v>823</v>
      </c>
      <c r="I358" s="20" t="s">
        <v>822</v>
      </c>
      <c r="J358" s="21">
        <f t="shared" ca="1" si="10"/>
        <v>975</v>
      </c>
      <c r="K358" s="20" t="str">
        <f t="shared" ca="1" si="11"/>
        <v>Overdue</v>
      </c>
    </row>
    <row r="359" spans="1:11" x14ac:dyDescent="0.3">
      <c r="A359" s="18" t="s">
        <v>366</v>
      </c>
      <c r="B359" s="18" t="s">
        <v>809</v>
      </c>
      <c r="C359" s="19">
        <v>45160</v>
      </c>
      <c r="D359" s="19">
        <v>45190</v>
      </c>
      <c r="E359" s="17">
        <v>4029.65</v>
      </c>
      <c r="F359" s="20" t="s">
        <v>815</v>
      </c>
      <c r="G359" s="20" t="s">
        <v>821</v>
      </c>
      <c r="H359" s="22">
        <v>45190</v>
      </c>
      <c r="I359" s="20" t="s">
        <v>822</v>
      </c>
      <c r="J359" s="21">
        <f t="shared" ca="1" si="10"/>
        <v>1005</v>
      </c>
      <c r="K359" s="20" t="str">
        <f t="shared" ca="1" si="11"/>
        <v>OK</v>
      </c>
    </row>
    <row r="360" spans="1:11" x14ac:dyDescent="0.3">
      <c r="A360" s="18" t="s">
        <v>367</v>
      </c>
      <c r="B360" s="18" t="s">
        <v>810</v>
      </c>
      <c r="C360" s="19">
        <v>45545</v>
      </c>
      <c r="D360" s="19">
        <v>45575</v>
      </c>
      <c r="E360" s="17">
        <v>1667.66</v>
      </c>
      <c r="F360" s="20" t="s">
        <v>818</v>
      </c>
      <c r="G360" s="20" t="s">
        <v>819</v>
      </c>
      <c r="H360" s="20" t="s">
        <v>823</v>
      </c>
      <c r="I360" s="20" t="s">
        <v>822</v>
      </c>
      <c r="J360" s="21">
        <f t="shared" ca="1" si="10"/>
        <v>620</v>
      </c>
      <c r="K360" s="20" t="str">
        <f t="shared" ca="1" si="11"/>
        <v>Overdue</v>
      </c>
    </row>
    <row r="361" spans="1:11" x14ac:dyDescent="0.3">
      <c r="A361" s="18" t="s">
        <v>368</v>
      </c>
      <c r="B361" s="18" t="s">
        <v>810</v>
      </c>
      <c r="C361" s="19">
        <v>45325</v>
      </c>
      <c r="D361" s="19">
        <v>45355</v>
      </c>
      <c r="E361" s="17">
        <v>687.7</v>
      </c>
      <c r="F361" s="20" t="s">
        <v>818</v>
      </c>
      <c r="G361" s="20" t="s">
        <v>819</v>
      </c>
      <c r="H361" s="20" t="s">
        <v>823</v>
      </c>
      <c r="I361" s="20" t="s">
        <v>822</v>
      </c>
      <c r="J361" s="21">
        <f t="shared" ca="1" si="10"/>
        <v>840</v>
      </c>
      <c r="K361" s="20" t="str">
        <f t="shared" ca="1" si="11"/>
        <v>Overdue</v>
      </c>
    </row>
    <row r="362" spans="1:11" x14ac:dyDescent="0.3">
      <c r="A362" s="18" t="s">
        <v>369</v>
      </c>
      <c r="B362" s="18" t="s">
        <v>812</v>
      </c>
      <c r="C362" s="19">
        <v>45174</v>
      </c>
      <c r="D362" s="19">
        <v>45204</v>
      </c>
      <c r="E362" s="17">
        <v>1555.59</v>
      </c>
      <c r="F362" s="20" t="s">
        <v>817</v>
      </c>
      <c r="G362" s="20" t="s">
        <v>821</v>
      </c>
      <c r="H362" s="22">
        <v>45204</v>
      </c>
      <c r="I362" s="20" t="s">
        <v>822</v>
      </c>
      <c r="J362" s="21">
        <f t="shared" ca="1" si="10"/>
        <v>991</v>
      </c>
      <c r="K362" s="20" t="str">
        <f t="shared" ca="1" si="11"/>
        <v>OK</v>
      </c>
    </row>
    <row r="363" spans="1:11" x14ac:dyDescent="0.3">
      <c r="A363" s="18" t="s">
        <v>370</v>
      </c>
      <c r="B363" s="18" t="s">
        <v>809</v>
      </c>
      <c r="C363" s="19">
        <v>45298</v>
      </c>
      <c r="D363" s="19">
        <v>45328</v>
      </c>
      <c r="E363" s="17">
        <v>937.69</v>
      </c>
      <c r="F363" s="20" t="s">
        <v>818</v>
      </c>
      <c r="G363" s="20" t="s">
        <v>821</v>
      </c>
      <c r="H363" s="22">
        <v>45328</v>
      </c>
      <c r="I363" s="20" t="s">
        <v>822</v>
      </c>
      <c r="J363" s="21">
        <f t="shared" ca="1" si="10"/>
        <v>867</v>
      </c>
      <c r="K363" s="20" t="str">
        <f t="shared" ca="1" si="11"/>
        <v>OK</v>
      </c>
    </row>
    <row r="364" spans="1:11" x14ac:dyDescent="0.3">
      <c r="A364" s="18" t="s">
        <v>371</v>
      </c>
      <c r="B364" s="18" t="s">
        <v>811</v>
      </c>
      <c r="C364" s="19">
        <v>45307</v>
      </c>
      <c r="D364" s="19">
        <v>45337</v>
      </c>
      <c r="E364" s="17">
        <v>2005.72</v>
      </c>
      <c r="F364" s="20" t="s">
        <v>817</v>
      </c>
      <c r="G364" s="20" t="s">
        <v>821</v>
      </c>
      <c r="H364" s="22">
        <v>45337</v>
      </c>
      <c r="I364" s="20" t="s">
        <v>822</v>
      </c>
      <c r="J364" s="21">
        <f t="shared" ca="1" si="10"/>
        <v>858</v>
      </c>
      <c r="K364" s="20" t="str">
        <f t="shared" ca="1" si="11"/>
        <v>OK</v>
      </c>
    </row>
    <row r="365" spans="1:11" x14ac:dyDescent="0.3">
      <c r="A365" s="18" t="s">
        <v>372</v>
      </c>
      <c r="B365" s="18" t="s">
        <v>809</v>
      </c>
      <c r="C365" s="19">
        <v>45306</v>
      </c>
      <c r="D365" s="19">
        <v>45336</v>
      </c>
      <c r="E365" s="17">
        <v>4353.25</v>
      </c>
      <c r="F365" s="20" t="s">
        <v>815</v>
      </c>
      <c r="G365" s="20" t="s">
        <v>821</v>
      </c>
      <c r="H365" s="22">
        <v>45336</v>
      </c>
      <c r="I365" s="20" t="s">
        <v>822</v>
      </c>
      <c r="J365" s="21">
        <f t="shared" ca="1" si="10"/>
        <v>859</v>
      </c>
      <c r="K365" s="20" t="str">
        <f t="shared" ca="1" si="11"/>
        <v>OK</v>
      </c>
    </row>
    <row r="366" spans="1:11" x14ac:dyDescent="0.3">
      <c r="A366" s="18" t="s">
        <v>373</v>
      </c>
      <c r="B366" s="18" t="s">
        <v>809</v>
      </c>
      <c r="C366" s="19">
        <v>45653</v>
      </c>
      <c r="D366" s="19">
        <v>45683</v>
      </c>
      <c r="E366" s="17">
        <v>2122.23</v>
      </c>
      <c r="F366" s="20" t="s">
        <v>818</v>
      </c>
      <c r="G366" s="20" t="s">
        <v>819</v>
      </c>
      <c r="H366" s="20" t="s">
        <v>823</v>
      </c>
      <c r="I366" s="20" t="s">
        <v>822</v>
      </c>
      <c r="J366" s="21">
        <f t="shared" ca="1" si="10"/>
        <v>512</v>
      </c>
      <c r="K366" s="20" t="str">
        <f t="shared" ca="1" si="11"/>
        <v>Overdue</v>
      </c>
    </row>
    <row r="367" spans="1:11" x14ac:dyDescent="0.3">
      <c r="A367" s="18" t="s">
        <v>374</v>
      </c>
      <c r="B367" s="18" t="s">
        <v>813</v>
      </c>
      <c r="C367" s="19">
        <v>45756</v>
      </c>
      <c r="D367" s="19">
        <v>45786</v>
      </c>
      <c r="E367" s="17">
        <v>3957.87</v>
      </c>
      <c r="F367" s="20" t="s">
        <v>815</v>
      </c>
      <c r="G367" s="20" t="s">
        <v>820</v>
      </c>
      <c r="H367" s="20" t="s">
        <v>823</v>
      </c>
      <c r="I367" s="20" t="s">
        <v>822</v>
      </c>
      <c r="J367" s="21">
        <f t="shared" ca="1" si="10"/>
        <v>409</v>
      </c>
      <c r="K367" s="20" t="str">
        <f t="shared" ca="1" si="11"/>
        <v>Overdue</v>
      </c>
    </row>
    <row r="368" spans="1:11" x14ac:dyDescent="0.3">
      <c r="A368" s="18" t="s">
        <v>375</v>
      </c>
      <c r="B368" s="18" t="s">
        <v>809</v>
      </c>
      <c r="C368" s="19">
        <v>45495</v>
      </c>
      <c r="D368" s="19">
        <v>45525</v>
      </c>
      <c r="E368" s="17">
        <v>3266.74</v>
      </c>
      <c r="F368" s="20" t="s">
        <v>818</v>
      </c>
      <c r="G368" s="20" t="s">
        <v>820</v>
      </c>
      <c r="H368" s="20" t="s">
        <v>823</v>
      </c>
      <c r="I368" s="20" t="s">
        <v>822</v>
      </c>
      <c r="J368" s="21">
        <f t="shared" ca="1" si="10"/>
        <v>670</v>
      </c>
      <c r="K368" s="20" t="str">
        <f t="shared" ca="1" si="11"/>
        <v>Overdue</v>
      </c>
    </row>
    <row r="369" spans="1:11" x14ac:dyDescent="0.3">
      <c r="A369" s="18" t="s">
        <v>376</v>
      </c>
      <c r="B369" s="18" t="s">
        <v>813</v>
      </c>
      <c r="C369" s="19">
        <v>45411</v>
      </c>
      <c r="D369" s="19">
        <v>45441</v>
      </c>
      <c r="E369" s="17">
        <v>4729.29</v>
      </c>
      <c r="F369" s="20" t="s">
        <v>818</v>
      </c>
      <c r="G369" s="20" t="s">
        <v>820</v>
      </c>
      <c r="H369" s="20" t="s">
        <v>823</v>
      </c>
      <c r="I369" s="20" t="s">
        <v>822</v>
      </c>
      <c r="J369" s="21">
        <f t="shared" ca="1" si="10"/>
        <v>754</v>
      </c>
      <c r="K369" s="20" t="str">
        <f t="shared" ca="1" si="11"/>
        <v>Overdue</v>
      </c>
    </row>
    <row r="370" spans="1:11" x14ac:dyDescent="0.3">
      <c r="A370" s="18" t="s">
        <v>377</v>
      </c>
      <c r="B370" s="18" t="s">
        <v>811</v>
      </c>
      <c r="C370" s="19">
        <v>45731</v>
      </c>
      <c r="D370" s="19">
        <v>45761</v>
      </c>
      <c r="E370" s="17">
        <v>1404.93</v>
      </c>
      <c r="F370" s="20" t="s">
        <v>818</v>
      </c>
      <c r="G370" s="20" t="s">
        <v>820</v>
      </c>
      <c r="H370" s="20" t="s">
        <v>823</v>
      </c>
      <c r="I370" s="20" t="s">
        <v>822</v>
      </c>
      <c r="J370" s="21">
        <f t="shared" ca="1" si="10"/>
        <v>434</v>
      </c>
      <c r="K370" s="20" t="str">
        <f t="shared" ca="1" si="11"/>
        <v>Overdue</v>
      </c>
    </row>
    <row r="371" spans="1:11" x14ac:dyDescent="0.3">
      <c r="A371" s="18" t="s">
        <v>378</v>
      </c>
      <c r="B371" s="18" t="s">
        <v>813</v>
      </c>
      <c r="C371" s="19">
        <v>45631</v>
      </c>
      <c r="D371" s="19">
        <v>45661</v>
      </c>
      <c r="E371" s="17">
        <v>2397.5100000000002</v>
      </c>
      <c r="F371" s="20" t="s">
        <v>815</v>
      </c>
      <c r="G371" s="20" t="s">
        <v>820</v>
      </c>
      <c r="H371" s="20" t="s">
        <v>823</v>
      </c>
      <c r="I371" s="20" t="s">
        <v>822</v>
      </c>
      <c r="J371" s="21">
        <f t="shared" ca="1" si="10"/>
        <v>534</v>
      </c>
      <c r="K371" s="20" t="str">
        <f t="shared" ca="1" si="11"/>
        <v>Overdue</v>
      </c>
    </row>
    <row r="372" spans="1:11" x14ac:dyDescent="0.3">
      <c r="A372" s="18" t="s">
        <v>379</v>
      </c>
      <c r="B372" s="18" t="s">
        <v>813</v>
      </c>
      <c r="C372" s="19">
        <v>45005</v>
      </c>
      <c r="D372" s="19">
        <v>45035</v>
      </c>
      <c r="E372" s="17">
        <v>3324.14</v>
      </c>
      <c r="F372" s="20" t="s">
        <v>818</v>
      </c>
      <c r="G372" s="20" t="s">
        <v>821</v>
      </c>
      <c r="H372" s="22">
        <v>45035</v>
      </c>
      <c r="I372" s="20" t="s">
        <v>822</v>
      </c>
      <c r="J372" s="21">
        <f t="shared" ca="1" si="10"/>
        <v>1160</v>
      </c>
      <c r="K372" s="20" t="str">
        <f t="shared" ca="1" si="11"/>
        <v>OK</v>
      </c>
    </row>
    <row r="373" spans="1:11" x14ac:dyDescent="0.3">
      <c r="A373" s="18" t="s">
        <v>380</v>
      </c>
      <c r="B373" s="18" t="s">
        <v>812</v>
      </c>
      <c r="C373" s="19">
        <v>45290</v>
      </c>
      <c r="D373" s="19">
        <v>45320</v>
      </c>
      <c r="E373" s="17">
        <v>4000.08</v>
      </c>
      <c r="F373" s="20" t="s">
        <v>816</v>
      </c>
      <c r="G373" s="20" t="s">
        <v>819</v>
      </c>
      <c r="H373" s="20" t="s">
        <v>823</v>
      </c>
      <c r="I373" s="20" t="s">
        <v>822</v>
      </c>
      <c r="J373" s="21">
        <f t="shared" ca="1" si="10"/>
        <v>875</v>
      </c>
      <c r="K373" s="20" t="str">
        <f t="shared" ca="1" si="11"/>
        <v>Overdue</v>
      </c>
    </row>
    <row r="374" spans="1:11" x14ac:dyDescent="0.3">
      <c r="A374" s="18" t="s">
        <v>381</v>
      </c>
      <c r="B374" s="18" t="s">
        <v>812</v>
      </c>
      <c r="C374" s="19">
        <v>45788</v>
      </c>
      <c r="D374" s="19">
        <v>45818</v>
      </c>
      <c r="E374" s="17">
        <v>692.78</v>
      </c>
      <c r="F374" s="20" t="s">
        <v>814</v>
      </c>
      <c r="G374" s="20" t="s">
        <v>821</v>
      </c>
      <c r="H374" s="22">
        <v>45818</v>
      </c>
      <c r="I374" s="20" t="s">
        <v>822</v>
      </c>
      <c r="J374" s="21">
        <f t="shared" ca="1" si="10"/>
        <v>377</v>
      </c>
      <c r="K374" s="20" t="str">
        <f t="shared" ca="1" si="11"/>
        <v>OK</v>
      </c>
    </row>
    <row r="375" spans="1:11" x14ac:dyDescent="0.3">
      <c r="A375" s="18" t="s">
        <v>382</v>
      </c>
      <c r="B375" s="18" t="s">
        <v>811</v>
      </c>
      <c r="C375" s="19">
        <v>45066</v>
      </c>
      <c r="D375" s="19">
        <v>45096</v>
      </c>
      <c r="E375" s="17">
        <v>485.69</v>
      </c>
      <c r="F375" s="20" t="s">
        <v>814</v>
      </c>
      <c r="G375" s="20" t="s">
        <v>820</v>
      </c>
      <c r="H375" s="20" t="s">
        <v>823</v>
      </c>
      <c r="I375" s="20" t="s">
        <v>822</v>
      </c>
      <c r="J375" s="21">
        <f t="shared" ca="1" si="10"/>
        <v>1099</v>
      </c>
      <c r="K375" s="20" t="str">
        <f t="shared" ca="1" si="11"/>
        <v>Overdue</v>
      </c>
    </row>
    <row r="376" spans="1:11" x14ac:dyDescent="0.3">
      <c r="A376" s="18" t="s">
        <v>383</v>
      </c>
      <c r="B376" s="18" t="s">
        <v>813</v>
      </c>
      <c r="C376" s="19">
        <v>45168</v>
      </c>
      <c r="D376" s="19">
        <v>45198</v>
      </c>
      <c r="E376" s="17">
        <v>2956.85</v>
      </c>
      <c r="F376" s="20" t="s">
        <v>814</v>
      </c>
      <c r="G376" s="20" t="s">
        <v>821</v>
      </c>
      <c r="H376" s="22">
        <v>45198</v>
      </c>
      <c r="I376" s="20" t="s">
        <v>822</v>
      </c>
      <c r="J376" s="21">
        <f t="shared" ca="1" si="10"/>
        <v>997</v>
      </c>
      <c r="K376" s="20" t="str">
        <f t="shared" ca="1" si="11"/>
        <v>OK</v>
      </c>
    </row>
    <row r="377" spans="1:11" x14ac:dyDescent="0.3">
      <c r="A377" s="18" t="s">
        <v>384</v>
      </c>
      <c r="B377" s="18" t="s">
        <v>810</v>
      </c>
      <c r="C377" s="19">
        <v>45233</v>
      </c>
      <c r="D377" s="19">
        <v>45263</v>
      </c>
      <c r="E377" s="17">
        <v>2455.2600000000002</v>
      </c>
      <c r="F377" s="20" t="s">
        <v>815</v>
      </c>
      <c r="G377" s="20" t="s">
        <v>820</v>
      </c>
      <c r="H377" s="20" t="s">
        <v>823</v>
      </c>
      <c r="I377" s="20" t="s">
        <v>822</v>
      </c>
      <c r="J377" s="21">
        <f t="shared" ca="1" si="10"/>
        <v>932</v>
      </c>
      <c r="K377" s="20" t="str">
        <f t="shared" ca="1" si="11"/>
        <v>Overdue</v>
      </c>
    </row>
    <row r="378" spans="1:11" x14ac:dyDescent="0.3">
      <c r="A378" s="18" t="s">
        <v>385</v>
      </c>
      <c r="B378" s="18" t="s">
        <v>811</v>
      </c>
      <c r="C378" s="19">
        <v>44958</v>
      </c>
      <c r="D378" s="19">
        <v>44988</v>
      </c>
      <c r="E378" s="17">
        <v>852.36</v>
      </c>
      <c r="F378" s="20" t="s">
        <v>815</v>
      </c>
      <c r="G378" s="20" t="s">
        <v>821</v>
      </c>
      <c r="H378" s="22">
        <v>44988</v>
      </c>
      <c r="I378" s="20" t="s">
        <v>822</v>
      </c>
      <c r="J378" s="21">
        <f t="shared" ca="1" si="10"/>
        <v>1207</v>
      </c>
      <c r="K378" s="20" t="str">
        <f t="shared" ca="1" si="11"/>
        <v>OK</v>
      </c>
    </row>
    <row r="379" spans="1:11" x14ac:dyDescent="0.3">
      <c r="A379" s="18" t="s">
        <v>386</v>
      </c>
      <c r="B379" s="18" t="s">
        <v>813</v>
      </c>
      <c r="C379" s="19">
        <v>45129</v>
      </c>
      <c r="D379" s="19">
        <v>45159</v>
      </c>
      <c r="E379" s="17">
        <v>4885.47</v>
      </c>
      <c r="F379" s="20" t="s">
        <v>814</v>
      </c>
      <c r="G379" s="20" t="s">
        <v>820</v>
      </c>
      <c r="H379" s="20" t="s">
        <v>823</v>
      </c>
      <c r="I379" s="20" t="s">
        <v>822</v>
      </c>
      <c r="J379" s="21">
        <f t="shared" ca="1" si="10"/>
        <v>1036</v>
      </c>
      <c r="K379" s="20" t="str">
        <f t="shared" ca="1" si="11"/>
        <v>Overdue</v>
      </c>
    </row>
    <row r="380" spans="1:11" x14ac:dyDescent="0.3">
      <c r="A380" s="18" t="s">
        <v>387</v>
      </c>
      <c r="B380" s="18" t="s">
        <v>813</v>
      </c>
      <c r="C380" s="19">
        <v>45521</v>
      </c>
      <c r="D380" s="19">
        <v>45551</v>
      </c>
      <c r="E380" s="17">
        <v>3332.33</v>
      </c>
      <c r="F380" s="20" t="s">
        <v>817</v>
      </c>
      <c r="G380" s="20" t="s">
        <v>819</v>
      </c>
      <c r="H380" s="20" t="s">
        <v>823</v>
      </c>
      <c r="I380" s="20" t="s">
        <v>822</v>
      </c>
      <c r="J380" s="21">
        <f t="shared" ca="1" si="10"/>
        <v>644</v>
      </c>
      <c r="K380" s="20" t="str">
        <f t="shared" ca="1" si="11"/>
        <v>Overdue</v>
      </c>
    </row>
    <row r="381" spans="1:11" x14ac:dyDescent="0.3">
      <c r="A381" s="18" t="s">
        <v>388</v>
      </c>
      <c r="B381" s="18" t="s">
        <v>813</v>
      </c>
      <c r="C381" s="19">
        <v>45170</v>
      </c>
      <c r="D381" s="19">
        <v>45200</v>
      </c>
      <c r="E381" s="17">
        <v>431.39</v>
      </c>
      <c r="F381" s="20" t="s">
        <v>817</v>
      </c>
      <c r="G381" s="20" t="s">
        <v>821</v>
      </c>
      <c r="H381" s="22">
        <v>45200</v>
      </c>
      <c r="I381" s="20" t="s">
        <v>822</v>
      </c>
      <c r="J381" s="21">
        <f t="shared" ca="1" si="10"/>
        <v>995</v>
      </c>
      <c r="K381" s="20" t="str">
        <f t="shared" ca="1" si="11"/>
        <v>OK</v>
      </c>
    </row>
    <row r="382" spans="1:11" x14ac:dyDescent="0.3">
      <c r="A382" s="18" t="s">
        <v>389</v>
      </c>
      <c r="B382" s="18" t="s">
        <v>809</v>
      </c>
      <c r="C382" s="19">
        <v>45363</v>
      </c>
      <c r="D382" s="19">
        <v>45393</v>
      </c>
      <c r="E382" s="17">
        <v>2201.16</v>
      </c>
      <c r="F382" s="20" t="s">
        <v>816</v>
      </c>
      <c r="G382" s="20" t="s">
        <v>819</v>
      </c>
      <c r="H382" s="20" t="s">
        <v>823</v>
      </c>
      <c r="I382" s="20" t="s">
        <v>822</v>
      </c>
      <c r="J382" s="21">
        <f t="shared" ca="1" si="10"/>
        <v>802</v>
      </c>
      <c r="K382" s="20" t="str">
        <f t="shared" ca="1" si="11"/>
        <v>Overdue</v>
      </c>
    </row>
    <row r="383" spans="1:11" x14ac:dyDescent="0.3">
      <c r="A383" s="18" t="s">
        <v>390</v>
      </c>
      <c r="B383" s="18" t="s">
        <v>812</v>
      </c>
      <c r="C383" s="19">
        <v>45552</v>
      </c>
      <c r="D383" s="19">
        <v>45582</v>
      </c>
      <c r="E383" s="17">
        <v>726.32</v>
      </c>
      <c r="F383" s="20" t="s">
        <v>816</v>
      </c>
      <c r="G383" s="20" t="s">
        <v>821</v>
      </c>
      <c r="H383" s="22">
        <v>45582</v>
      </c>
      <c r="I383" s="20" t="s">
        <v>822</v>
      </c>
      <c r="J383" s="21">
        <f t="shared" ca="1" si="10"/>
        <v>613</v>
      </c>
      <c r="K383" s="20" t="str">
        <f t="shared" ca="1" si="11"/>
        <v>OK</v>
      </c>
    </row>
    <row r="384" spans="1:11" x14ac:dyDescent="0.3">
      <c r="A384" s="18" t="s">
        <v>391</v>
      </c>
      <c r="B384" s="18" t="s">
        <v>813</v>
      </c>
      <c r="C384" s="19">
        <v>45329</v>
      </c>
      <c r="D384" s="19">
        <v>45359</v>
      </c>
      <c r="E384" s="17">
        <v>4541.1000000000004</v>
      </c>
      <c r="F384" s="20" t="s">
        <v>818</v>
      </c>
      <c r="G384" s="20" t="s">
        <v>820</v>
      </c>
      <c r="H384" s="20" t="s">
        <v>823</v>
      </c>
      <c r="I384" s="20" t="s">
        <v>822</v>
      </c>
      <c r="J384" s="21">
        <f t="shared" ca="1" si="10"/>
        <v>836</v>
      </c>
      <c r="K384" s="20" t="str">
        <f t="shared" ca="1" si="11"/>
        <v>Overdue</v>
      </c>
    </row>
    <row r="385" spans="1:11" x14ac:dyDescent="0.3">
      <c r="A385" s="18" t="s">
        <v>392</v>
      </c>
      <c r="B385" s="18" t="s">
        <v>810</v>
      </c>
      <c r="C385" s="19">
        <v>45797</v>
      </c>
      <c r="D385" s="19">
        <v>45827</v>
      </c>
      <c r="E385" s="17">
        <v>249.48</v>
      </c>
      <c r="F385" s="20" t="s">
        <v>815</v>
      </c>
      <c r="G385" s="20" t="s">
        <v>821</v>
      </c>
      <c r="H385" s="22">
        <v>45827</v>
      </c>
      <c r="I385" s="20" t="s">
        <v>822</v>
      </c>
      <c r="J385" s="21">
        <f t="shared" ca="1" si="10"/>
        <v>368</v>
      </c>
      <c r="K385" s="20" t="str">
        <f t="shared" ca="1" si="11"/>
        <v>OK</v>
      </c>
    </row>
    <row r="386" spans="1:11" x14ac:dyDescent="0.3">
      <c r="A386" s="18" t="s">
        <v>393</v>
      </c>
      <c r="B386" s="18" t="s">
        <v>809</v>
      </c>
      <c r="C386" s="19">
        <v>45284</v>
      </c>
      <c r="D386" s="19">
        <v>45314</v>
      </c>
      <c r="E386" s="17">
        <v>3005.5</v>
      </c>
      <c r="F386" s="20" t="s">
        <v>814</v>
      </c>
      <c r="G386" s="20" t="s">
        <v>819</v>
      </c>
      <c r="H386" s="20" t="s">
        <v>823</v>
      </c>
      <c r="I386" s="20" t="s">
        <v>822</v>
      </c>
      <c r="J386" s="21">
        <f t="shared" ref="J386:J449" ca="1" si="12">TODAY()-D386</f>
        <v>881</v>
      </c>
      <c r="K386" s="20" t="str">
        <f t="shared" ref="K386:K449" ca="1" si="13">IF(AND(TODAY()&gt;D386,G386&lt;&gt;"Paid"),"Overdue","OK")</f>
        <v>Overdue</v>
      </c>
    </row>
    <row r="387" spans="1:11" x14ac:dyDescent="0.3">
      <c r="A387" s="18" t="s">
        <v>394</v>
      </c>
      <c r="B387" s="18" t="s">
        <v>813</v>
      </c>
      <c r="C387" s="19">
        <v>44930</v>
      </c>
      <c r="D387" s="19">
        <v>44960</v>
      </c>
      <c r="E387" s="17">
        <v>1857.96</v>
      </c>
      <c r="F387" s="20" t="s">
        <v>814</v>
      </c>
      <c r="G387" s="20" t="s">
        <v>821</v>
      </c>
      <c r="H387" s="22">
        <v>44960</v>
      </c>
      <c r="I387" s="20" t="s">
        <v>822</v>
      </c>
      <c r="J387" s="21">
        <f t="shared" ca="1" si="12"/>
        <v>1235</v>
      </c>
      <c r="K387" s="20" t="str">
        <f t="shared" ca="1" si="13"/>
        <v>OK</v>
      </c>
    </row>
    <row r="388" spans="1:11" x14ac:dyDescent="0.3">
      <c r="A388" s="18" t="s">
        <v>395</v>
      </c>
      <c r="B388" s="18" t="s">
        <v>813</v>
      </c>
      <c r="C388" s="19">
        <v>45616</v>
      </c>
      <c r="D388" s="19">
        <v>45646</v>
      </c>
      <c r="E388" s="17">
        <v>915.02</v>
      </c>
      <c r="F388" s="20" t="s">
        <v>818</v>
      </c>
      <c r="G388" s="20" t="s">
        <v>819</v>
      </c>
      <c r="H388" s="20" t="s">
        <v>823</v>
      </c>
      <c r="I388" s="20" t="s">
        <v>822</v>
      </c>
      <c r="J388" s="21">
        <f t="shared" ca="1" si="12"/>
        <v>549</v>
      </c>
      <c r="K388" s="20" t="str">
        <f t="shared" ca="1" si="13"/>
        <v>Overdue</v>
      </c>
    </row>
    <row r="389" spans="1:11" x14ac:dyDescent="0.3">
      <c r="A389" s="18" t="s">
        <v>396</v>
      </c>
      <c r="B389" s="18" t="s">
        <v>809</v>
      </c>
      <c r="C389" s="19">
        <v>45480</v>
      </c>
      <c r="D389" s="19">
        <v>45510</v>
      </c>
      <c r="E389" s="17">
        <v>4101.55</v>
      </c>
      <c r="F389" s="20" t="s">
        <v>816</v>
      </c>
      <c r="G389" s="20" t="s">
        <v>819</v>
      </c>
      <c r="H389" s="20" t="s">
        <v>823</v>
      </c>
      <c r="I389" s="20" t="s">
        <v>822</v>
      </c>
      <c r="J389" s="21">
        <f t="shared" ca="1" si="12"/>
        <v>685</v>
      </c>
      <c r="K389" s="20" t="str">
        <f t="shared" ca="1" si="13"/>
        <v>Overdue</v>
      </c>
    </row>
    <row r="390" spans="1:11" x14ac:dyDescent="0.3">
      <c r="A390" s="18" t="s">
        <v>397</v>
      </c>
      <c r="B390" s="18" t="s">
        <v>812</v>
      </c>
      <c r="C390" s="19">
        <v>45272</v>
      </c>
      <c r="D390" s="19">
        <v>45302</v>
      </c>
      <c r="E390" s="17">
        <v>4184.6499999999996</v>
      </c>
      <c r="F390" s="20" t="s">
        <v>814</v>
      </c>
      <c r="G390" s="20" t="s">
        <v>820</v>
      </c>
      <c r="H390" s="20" t="s">
        <v>823</v>
      </c>
      <c r="I390" s="20" t="s">
        <v>822</v>
      </c>
      <c r="J390" s="21">
        <f t="shared" ca="1" si="12"/>
        <v>893</v>
      </c>
      <c r="K390" s="20" t="str">
        <f t="shared" ca="1" si="13"/>
        <v>Overdue</v>
      </c>
    </row>
    <row r="391" spans="1:11" x14ac:dyDescent="0.3">
      <c r="A391" s="18" t="s">
        <v>398</v>
      </c>
      <c r="B391" s="18" t="s">
        <v>811</v>
      </c>
      <c r="C391" s="19">
        <v>45408</v>
      </c>
      <c r="D391" s="19">
        <v>45438</v>
      </c>
      <c r="E391" s="17">
        <v>4769.93</v>
      </c>
      <c r="F391" s="20" t="s">
        <v>815</v>
      </c>
      <c r="G391" s="20" t="s">
        <v>819</v>
      </c>
      <c r="H391" s="20" t="s">
        <v>823</v>
      </c>
      <c r="I391" s="20" t="s">
        <v>822</v>
      </c>
      <c r="J391" s="21">
        <f t="shared" ca="1" si="12"/>
        <v>757</v>
      </c>
      <c r="K391" s="20" t="str">
        <f t="shared" ca="1" si="13"/>
        <v>Overdue</v>
      </c>
    </row>
    <row r="392" spans="1:11" x14ac:dyDescent="0.3">
      <c r="A392" s="18" t="s">
        <v>399</v>
      </c>
      <c r="B392" s="18" t="s">
        <v>812</v>
      </c>
      <c r="C392" s="19">
        <v>45387</v>
      </c>
      <c r="D392" s="19">
        <v>45417</v>
      </c>
      <c r="E392" s="17">
        <v>3082.55</v>
      </c>
      <c r="F392" s="20" t="s">
        <v>818</v>
      </c>
      <c r="G392" s="20" t="s">
        <v>820</v>
      </c>
      <c r="H392" s="20" t="s">
        <v>823</v>
      </c>
      <c r="I392" s="20" t="s">
        <v>822</v>
      </c>
      <c r="J392" s="21">
        <f t="shared" ca="1" si="12"/>
        <v>778</v>
      </c>
      <c r="K392" s="20" t="str">
        <f t="shared" ca="1" si="13"/>
        <v>Overdue</v>
      </c>
    </row>
    <row r="393" spans="1:11" x14ac:dyDescent="0.3">
      <c r="A393" s="18" t="s">
        <v>400</v>
      </c>
      <c r="B393" s="18" t="s">
        <v>810</v>
      </c>
      <c r="C393" s="19">
        <v>45237</v>
      </c>
      <c r="D393" s="19">
        <v>45267</v>
      </c>
      <c r="E393" s="17">
        <v>4720.7700000000004</v>
      </c>
      <c r="F393" s="20" t="s">
        <v>817</v>
      </c>
      <c r="G393" s="20" t="s">
        <v>821</v>
      </c>
      <c r="H393" s="22">
        <v>45267</v>
      </c>
      <c r="I393" s="20" t="s">
        <v>822</v>
      </c>
      <c r="J393" s="21">
        <f t="shared" ca="1" si="12"/>
        <v>928</v>
      </c>
      <c r="K393" s="20" t="str">
        <f t="shared" ca="1" si="13"/>
        <v>OK</v>
      </c>
    </row>
    <row r="394" spans="1:11" x14ac:dyDescent="0.3">
      <c r="A394" s="18" t="s">
        <v>401</v>
      </c>
      <c r="B394" s="18" t="s">
        <v>810</v>
      </c>
      <c r="C394" s="19">
        <v>45436</v>
      </c>
      <c r="D394" s="19">
        <v>45466</v>
      </c>
      <c r="E394" s="17">
        <v>4645.08</v>
      </c>
      <c r="F394" s="20" t="s">
        <v>818</v>
      </c>
      <c r="G394" s="20" t="s">
        <v>819</v>
      </c>
      <c r="H394" s="20" t="s">
        <v>823</v>
      </c>
      <c r="I394" s="20" t="s">
        <v>822</v>
      </c>
      <c r="J394" s="21">
        <f t="shared" ca="1" si="12"/>
        <v>729</v>
      </c>
      <c r="K394" s="20" t="str">
        <f t="shared" ca="1" si="13"/>
        <v>Overdue</v>
      </c>
    </row>
    <row r="395" spans="1:11" x14ac:dyDescent="0.3">
      <c r="A395" s="18" t="s">
        <v>402</v>
      </c>
      <c r="B395" s="18" t="s">
        <v>810</v>
      </c>
      <c r="C395" s="19">
        <v>45464</v>
      </c>
      <c r="D395" s="19">
        <v>45494</v>
      </c>
      <c r="E395" s="17">
        <v>2488.5</v>
      </c>
      <c r="F395" s="20" t="s">
        <v>817</v>
      </c>
      <c r="G395" s="20" t="s">
        <v>819</v>
      </c>
      <c r="H395" s="20" t="s">
        <v>823</v>
      </c>
      <c r="I395" s="20" t="s">
        <v>822</v>
      </c>
      <c r="J395" s="21">
        <f t="shared" ca="1" si="12"/>
        <v>701</v>
      </c>
      <c r="K395" s="20" t="str">
        <f t="shared" ca="1" si="13"/>
        <v>Overdue</v>
      </c>
    </row>
    <row r="396" spans="1:11" x14ac:dyDescent="0.3">
      <c r="A396" s="18" t="s">
        <v>403</v>
      </c>
      <c r="B396" s="18" t="s">
        <v>812</v>
      </c>
      <c r="C396" s="19">
        <v>45308</v>
      </c>
      <c r="D396" s="19">
        <v>45338</v>
      </c>
      <c r="E396" s="17">
        <v>4687.1499999999996</v>
      </c>
      <c r="F396" s="20" t="s">
        <v>815</v>
      </c>
      <c r="G396" s="20" t="s">
        <v>820</v>
      </c>
      <c r="H396" s="20" t="s">
        <v>823</v>
      </c>
      <c r="I396" s="20" t="s">
        <v>822</v>
      </c>
      <c r="J396" s="21">
        <f t="shared" ca="1" si="12"/>
        <v>857</v>
      </c>
      <c r="K396" s="20" t="str">
        <f t="shared" ca="1" si="13"/>
        <v>Overdue</v>
      </c>
    </row>
    <row r="397" spans="1:11" x14ac:dyDescent="0.3">
      <c r="A397" s="18" t="s">
        <v>404</v>
      </c>
      <c r="B397" s="18" t="s">
        <v>812</v>
      </c>
      <c r="C397" s="19">
        <v>45227</v>
      </c>
      <c r="D397" s="19">
        <v>45257</v>
      </c>
      <c r="E397" s="17">
        <v>3299.79</v>
      </c>
      <c r="F397" s="20" t="s">
        <v>817</v>
      </c>
      <c r="G397" s="20" t="s">
        <v>819</v>
      </c>
      <c r="H397" s="20" t="s">
        <v>823</v>
      </c>
      <c r="I397" s="20" t="s">
        <v>822</v>
      </c>
      <c r="J397" s="21">
        <f t="shared" ca="1" si="12"/>
        <v>938</v>
      </c>
      <c r="K397" s="20" t="str">
        <f t="shared" ca="1" si="13"/>
        <v>Overdue</v>
      </c>
    </row>
    <row r="398" spans="1:11" x14ac:dyDescent="0.3">
      <c r="A398" s="18" t="s">
        <v>405</v>
      </c>
      <c r="B398" s="18" t="s">
        <v>810</v>
      </c>
      <c r="C398" s="19">
        <v>45541</v>
      </c>
      <c r="D398" s="19">
        <v>45571</v>
      </c>
      <c r="E398" s="17">
        <v>1150.1099999999999</v>
      </c>
      <c r="F398" s="20" t="s">
        <v>816</v>
      </c>
      <c r="G398" s="20" t="s">
        <v>821</v>
      </c>
      <c r="H398" s="22">
        <v>45571</v>
      </c>
      <c r="I398" s="20" t="s">
        <v>822</v>
      </c>
      <c r="J398" s="21">
        <f t="shared" ca="1" si="12"/>
        <v>624</v>
      </c>
      <c r="K398" s="20" t="str">
        <f t="shared" ca="1" si="13"/>
        <v>OK</v>
      </c>
    </row>
    <row r="399" spans="1:11" x14ac:dyDescent="0.3">
      <c r="A399" s="18" t="s">
        <v>406</v>
      </c>
      <c r="B399" s="18" t="s">
        <v>812</v>
      </c>
      <c r="C399" s="19">
        <v>45329</v>
      </c>
      <c r="D399" s="19">
        <v>45359</v>
      </c>
      <c r="E399" s="17">
        <v>1440.98</v>
      </c>
      <c r="F399" s="20" t="s">
        <v>815</v>
      </c>
      <c r="G399" s="20" t="s">
        <v>819</v>
      </c>
      <c r="H399" s="20" t="s">
        <v>823</v>
      </c>
      <c r="I399" s="20" t="s">
        <v>822</v>
      </c>
      <c r="J399" s="21">
        <f t="shared" ca="1" si="12"/>
        <v>836</v>
      </c>
      <c r="K399" s="20" t="str">
        <f t="shared" ca="1" si="13"/>
        <v>Overdue</v>
      </c>
    </row>
    <row r="400" spans="1:11" x14ac:dyDescent="0.3">
      <c r="A400" s="18" t="s">
        <v>407</v>
      </c>
      <c r="B400" s="18" t="s">
        <v>811</v>
      </c>
      <c r="C400" s="19">
        <v>45012</v>
      </c>
      <c r="D400" s="19">
        <v>45042</v>
      </c>
      <c r="E400" s="17">
        <v>4705.1499999999996</v>
      </c>
      <c r="F400" s="20" t="s">
        <v>818</v>
      </c>
      <c r="G400" s="20" t="s">
        <v>821</v>
      </c>
      <c r="H400" s="22">
        <v>45042</v>
      </c>
      <c r="I400" s="20" t="s">
        <v>822</v>
      </c>
      <c r="J400" s="21">
        <f t="shared" ca="1" si="12"/>
        <v>1153</v>
      </c>
      <c r="K400" s="20" t="str">
        <f t="shared" ca="1" si="13"/>
        <v>OK</v>
      </c>
    </row>
    <row r="401" spans="1:11" x14ac:dyDescent="0.3">
      <c r="A401" s="18" t="s">
        <v>408</v>
      </c>
      <c r="B401" s="18" t="s">
        <v>813</v>
      </c>
      <c r="C401" s="19">
        <v>45086</v>
      </c>
      <c r="D401" s="19">
        <v>45116</v>
      </c>
      <c r="E401" s="17">
        <v>4226.8900000000003</v>
      </c>
      <c r="F401" s="20" t="s">
        <v>818</v>
      </c>
      <c r="G401" s="20" t="s">
        <v>821</v>
      </c>
      <c r="H401" s="22">
        <v>45116</v>
      </c>
      <c r="I401" s="20" t="s">
        <v>822</v>
      </c>
      <c r="J401" s="21">
        <f t="shared" ca="1" si="12"/>
        <v>1079</v>
      </c>
      <c r="K401" s="20" t="str">
        <f t="shared" ca="1" si="13"/>
        <v>OK</v>
      </c>
    </row>
    <row r="402" spans="1:11" x14ac:dyDescent="0.3">
      <c r="A402" s="18" t="s">
        <v>409</v>
      </c>
      <c r="B402" s="18" t="s">
        <v>812</v>
      </c>
      <c r="C402" s="19">
        <v>45776</v>
      </c>
      <c r="D402" s="19">
        <v>45806</v>
      </c>
      <c r="E402" s="17">
        <v>4706.16</v>
      </c>
      <c r="F402" s="20" t="s">
        <v>816</v>
      </c>
      <c r="G402" s="20" t="s">
        <v>821</v>
      </c>
      <c r="H402" s="22">
        <v>45806</v>
      </c>
      <c r="I402" s="20" t="s">
        <v>822</v>
      </c>
      <c r="J402" s="21">
        <f t="shared" ca="1" si="12"/>
        <v>389</v>
      </c>
      <c r="K402" s="20" t="str">
        <f t="shared" ca="1" si="13"/>
        <v>OK</v>
      </c>
    </row>
    <row r="403" spans="1:11" x14ac:dyDescent="0.3">
      <c r="A403" s="18" t="s">
        <v>410</v>
      </c>
      <c r="B403" s="18" t="s">
        <v>812</v>
      </c>
      <c r="C403" s="19">
        <v>45145</v>
      </c>
      <c r="D403" s="19">
        <v>45175</v>
      </c>
      <c r="E403" s="17">
        <v>4149.5200000000004</v>
      </c>
      <c r="F403" s="20" t="s">
        <v>817</v>
      </c>
      <c r="G403" s="20" t="s">
        <v>821</v>
      </c>
      <c r="H403" s="22">
        <v>45175</v>
      </c>
      <c r="I403" s="20" t="s">
        <v>822</v>
      </c>
      <c r="J403" s="21">
        <f t="shared" ca="1" si="12"/>
        <v>1020</v>
      </c>
      <c r="K403" s="20" t="str">
        <f t="shared" ca="1" si="13"/>
        <v>OK</v>
      </c>
    </row>
    <row r="404" spans="1:11" x14ac:dyDescent="0.3">
      <c r="A404" s="18" t="s">
        <v>411</v>
      </c>
      <c r="B404" s="18" t="s">
        <v>810</v>
      </c>
      <c r="C404" s="19">
        <v>45286</v>
      </c>
      <c r="D404" s="19">
        <v>45316</v>
      </c>
      <c r="E404" s="17">
        <v>1586.89</v>
      </c>
      <c r="F404" s="20" t="s">
        <v>814</v>
      </c>
      <c r="G404" s="20" t="s">
        <v>820</v>
      </c>
      <c r="H404" s="20" t="s">
        <v>823</v>
      </c>
      <c r="I404" s="20" t="s">
        <v>822</v>
      </c>
      <c r="J404" s="21">
        <f t="shared" ca="1" si="12"/>
        <v>879</v>
      </c>
      <c r="K404" s="20" t="str">
        <f t="shared" ca="1" si="13"/>
        <v>Overdue</v>
      </c>
    </row>
    <row r="405" spans="1:11" x14ac:dyDescent="0.3">
      <c r="A405" s="18" t="s">
        <v>412</v>
      </c>
      <c r="B405" s="18" t="s">
        <v>809</v>
      </c>
      <c r="C405" s="19">
        <v>45757</v>
      </c>
      <c r="D405" s="19">
        <v>45787</v>
      </c>
      <c r="E405" s="17">
        <v>2473.2600000000002</v>
      </c>
      <c r="F405" s="20" t="s">
        <v>817</v>
      </c>
      <c r="G405" s="20" t="s">
        <v>819</v>
      </c>
      <c r="H405" s="20" t="s">
        <v>823</v>
      </c>
      <c r="I405" s="20" t="s">
        <v>822</v>
      </c>
      <c r="J405" s="21">
        <f t="shared" ca="1" si="12"/>
        <v>408</v>
      </c>
      <c r="K405" s="20" t="str">
        <f t="shared" ca="1" si="13"/>
        <v>Overdue</v>
      </c>
    </row>
    <row r="406" spans="1:11" x14ac:dyDescent="0.3">
      <c r="A406" s="18" t="s">
        <v>413</v>
      </c>
      <c r="B406" s="18" t="s">
        <v>809</v>
      </c>
      <c r="C406" s="19">
        <v>45577</v>
      </c>
      <c r="D406" s="19">
        <v>45607</v>
      </c>
      <c r="E406" s="17">
        <v>3115.36</v>
      </c>
      <c r="F406" s="20" t="s">
        <v>816</v>
      </c>
      <c r="G406" s="20" t="s">
        <v>819</v>
      </c>
      <c r="H406" s="20" t="s">
        <v>823</v>
      </c>
      <c r="I406" s="20" t="s">
        <v>822</v>
      </c>
      <c r="J406" s="21">
        <f t="shared" ca="1" si="12"/>
        <v>588</v>
      </c>
      <c r="K406" s="20" t="str">
        <f t="shared" ca="1" si="13"/>
        <v>Overdue</v>
      </c>
    </row>
    <row r="407" spans="1:11" x14ac:dyDescent="0.3">
      <c r="A407" s="18" t="s">
        <v>414</v>
      </c>
      <c r="B407" s="18" t="s">
        <v>812</v>
      </c>
      <c r="C407" s="19">
        <v>45775</v>
      </c>
      <c r="D407" s="19">
        <v>45805</v>
      </c>
      <c r="E407" s="17">
        <v>2243.81</v>
      </c>
      <c r="F407" s="20" t="s">
        <v>818</v>
      </c>
      <c r="G407" s="20" t="s">
        <v>821</v>
      </c>
      <c r="H407" s="22">
        <v>45805</v>
      </c>
      <c r="I407" s="20" t="s">
        <v>822</v>
      </c>
      <c r="J407" s="21">
        <f t="shared" ca="1" si="12"/>
        <v>390</v>
      </c>
      <c r="K407" s="20" t="str">
        <f t="shared" ca="1" si="13"/>
        <v>OK</v>
      </c>
    </row>
    <row r="408" spans="1:11" x14ac:dyDescent="0.3">
      <c r="A408" s="18" t="s">
        <v>415</v>
      </c>
      <c r="B408" s="18" t="s">
        <v>810</v>
      </c>
      <c r="C408" s="19">
        <v>45729</v>
      </c>
      <c r="D408" s="19">
        <v>45759</v>
      </c>
      <c r="E408" s="17">
        <v>2764.23</v>
      </c>
      <c r="F408" s="20" t="s">
        <v>816</v>
      </c>
      <c r="G408" s="20" t="s">
        <v>820</v>
      </c>
      <c r="H408" s="20" t="s">
        <v>823</v>
      </c>
      <c r="I408" s="20" t="s">
        <v>822</v>
      </c>
      <c r="J408" s="21">
        <f t="shared" ca="1" si="12"/>
        <v>436</v>
      </c>
      <c r="K408" s="20" t="str">
        <f t="shared" ca="1" si="13"/>
        <v>Overdue</v>
      </c>
    </row>
    <row r="409" spans="1:11" x14ac:dyDescent="0.3">
      <c r="A409" s="18" t="s">
        <v>416</v>
      </c>
      <c r="B409" s="18" t="s">
        <v>813</v>
      </c>
      <c r="C409" s="19">
        <v>45286</v>
      </c>
      <c r="D409" s="19">
        <v>45316</v>
      </c>
      <c r="E409" s="17">
        <v>4219.16</v>
      </c>
      <c r="F409" s="20" t="s">
        <v>817</v>
      </c>
      <c r="G409" s="20" t="s">
        <v>820</v>
      </c>
      <c r="H409" s="20" t="s">
        <v>823</v>
      </c>
      <c r="I409" s="20" t="s">
        <v>822</v>
      </c>
      <c r="J409" s="21">
        <f t="shared" ca="1" si="12"/>
        <v>879</v>
      </c>
      <c r="K409" s="20" t="str">
        <f t="shared" ca="1" si="13"/>
        <v>Overdue</v>
      </c>
    </row>
    <row r="410" spans="1:11" x14ac:dyDescent="0.3">
      <c r="A410" s="18" t="s">
        <v>417</v>
      </c>
      <c r="B410" s="18" t="s">
        <v>812</v>
      </c>
      <c r="C410" s="19">
        <v>45430</v>
      </c>
      <c r="D410" s="19">
        <v>45460</v>
      </c>
      <c r="E410" s="17">
        <v>2719.44</v>
      </c>
      <c r="F410" s="20" t="s">
        <v>815</v>
      </c>
      <c r="G410" s="20" t="s">
        <v>819</v>
      </c>
      <c r="H410" s="20" t="s">
        <v>823</v>
      </c>
      <c r="I410" s="20" t="s">
        <v>822</v>
      </c>
      <c r="J410" s="21">
        <f t="shared" ca="1" si="12"/>
        <v>735</v>
      </c>
      <c r="K410" s="20" t="str">
        <f t="shared" ca="1" si="13"/>
        <v>Overdue</v>
      </c>
    </row>
    <row r="411" spans="1:11" x14ac:dyDescent="0.3">
      <c r="A411" s="18" t="s">
        <v>418</v>
      </c>
      <c r="B411" s="18" t="s">
        <v>813</v>
      </c>
      <c r="C411" s="19">
        <v>45617</v>
      </c>
      <c r="D411" s="19">
        <v>45647</v>
      </c>
      <c r="E411" s="17">
        <v>3651.79</v>
      </c>
      <c r="F411" s="20" t="s">
        <v>815</v>
      </c>
      <c r="G411" s="20" t="s">
        <v>820</v>
      </c>
      <c r="H411" s="20" t="s">
        <v>823</v>
      </c>
      <c r="I411" s="20" t="s">
        <v>822</v>
      </c>
      <c r="J411" s="21">
        <f t="shared" ca="1" si="12"/>
        <v>548</v>
      </c>
      <c r="K411" s="20" t="str">
        <f t="shared" ca="1" si="13"/>
        <v>Overdue</v>
      </c>
    </row>
    <row r="412" spans="1:11" x14ac:dyDescent="0.3">
      <c r="A412" s="18" t="s">
        <v>419</v>
      </c>
      <c r="B412" s="18" t="s">
        <v>812</v>
      </c>
      <c r="C412" s="19">
        <v>45358</v>
      </c>
      <c r="D412" s="19">
        <v>45388</v>
      </c>
      <c r="E412" s="17">
        <v>1247.3</v>
      </c>
      <c r="F412" s="20" t="s">
        <v>818</v>
      </c>
      <c r="G412" s="20" t="s">
        <v>821</v>
      </c>
      <c r="H412" s="22">
        <v>45388</v>
      </c>
      <c r="I412" s="20" t="s">
        <v>822</v>
      </c>
      <c r="J412" s="21">
        <f t="shared" ca="1" si="12"/>
        <v>807</v>
      </c>
      <c r="K412" s="20" t="str">
        <f t="shared" ca="1" si="13"/>
        <v>OK</v>
      </c>
    </row>
    <row r="413" spans="1:11" x14ac:dyDescent="0.3">
      <c r="A413" s="18" t="s">
        <v>420</v>
      </c>
      <c r="B413" s="18" t="s">
        <v>813</v>
      </c>
      <c r="C413" s="19">
        <v>45586</v>
      </c>
      <c r="D413" s="19">
        <v>45616</v>
      </c>
      <c r="E413" s="17">
        <v>1665.2</v>
      </c>
      <c r="F413" s="20" t="s">
        <v>818</v>
      </c>
      <c r="G413" s="20" t="s">
        <v>819</v>
      </c>
      <c r="H413" s="20" t="s">
        <v>823</v>
      </c>
      <c r="I413" s="20" t="s">
        <v>822</v>
      </c>
      <c r="J413" s="21">
        <f t="shared" ca="1" si="12"/>
        <v>579</v>
      </c>
      <c r="K413" s="20" t="str">
        <f t="shared" ca="1" si="13"/>
        <v>Overdue</v>
      </c>
    </row>
    <row r="414" spans="1:11" x14ac:dyDescent="0.3">
      <c r="A414" s="18" t="s">
        <v>421</v>
      </c>
      <c r="B414" s="18" t="s">
        <v>809</v>
      </c>
      <c r="C414" s="19">
        <v>45769</v>
      </c>
      <c r="D414" s="19">
        <v>45799</v>
      </c>
      <c r="E414" s="17">
        <v>4157.1000000000004</v>
      </c>
      <c r="F414" s="20" t="s">
        <v>816</v>
      </c>
      <c r="G414" s="20" t="s">
        <v>820</v>
      </c>
      <c r="H414" s="20" t="s">
        <v>823</v>
      </c>
      <c r="I414" s="20" t="s">
        <v>822</v>
      </c>
      <c r="J414" s="21">
        <f t="shared" ca="1" si="12"/>
        <v>396</v>
      </c>
      <c r="K414" s="20" t="str">
        <f t="shared" ca="1" si="13"/>
        <v>Overdue</v>
      </c>
    </row>
    <row r="415" spans="1:11" x14ac:dyDescent="0.3">
      <c r="A415" s="18" t="s">
        <v>422</v>
      </c>
      <c r="B415" s="18" t="s">
        <v>812</v>
      </c>
      <c r="C415" s="19">
        <v>45078</v>
      </c>
      <c r="D415" s="19">
        <v>45108</v>
      </c>
      <c r="E415" s="17">
        <v>4306.1000000000004</v>
      </c>
      <c r="F415" s="20" t="s">
        <v>815</v>
      </c>
      <c r="G415" s="20" t="s">
        <v>820</v>
      </c>
      <c r="H415" s="20" t="s">
        <v>823</v>
      </c>
      <c r="I415" s="20" t="s">
        <v>822</v>
      </c>
      <c r="J415" s="21">
        <f t="shared" ca="1" si="12"/>
        <v>1087</v>
      </c>
      <c r="K415" s="20" t="str">
        <f t="shared" ca="1" si="13"/>
        <v>Overdue</v>
      </c>
    </row>
    <row r="416" spans="1:11" x14ac:dyDescent="0.3">
      <c r="A416" s="18" t="s">
        <v>423</v>
      </c>
      <c r="B416" s="18" t="s">
        <v>811</v>
      </c>
      <c r="C416" s="19">
        <v>45549</v>
      </c>
      <c r="D416" s="19">
        <v>45579</v>
      </c>
      <c r="E416" s="17">
        <v>432.27</v>
      </c>
      <c r="F416" s="20" t="s">
        <v>818</v>
      </c>
      <c r="G416" s="20" t="s">
        <v>821</v>
      </c>
      <c r="H416" s="22">
        <v>45579</v>
      </c>
      <c r="I416" s="20" t="s">
        <v>822</v>
      </c>
      <c r="J416" s="21">
        <f t="shared" ca="1" si="12"/>
        <v>616</v>
      </c>
      <c r="K416" s="20" t="str">
        <f t="shared" ca="1" si="13"/>
        <v>OK</v>
      </c>
    </row>
    <row r="417" spans="1:11" x14ac:dyDescent="0.3">
      <c r="A417" s="18" t="s">
        <v>424</v>
      </c>
      <c r="B417" s="18" t="s">
        <v>809</v>
      </c>
      <c r="C417" s="19">
        <v>45260</v>
      </c>
      <c r="D417" s="19">
        <v>45290</v>
      </c>
      <c r="E417" s="17">
        <v>2075.2199999999998</v>
      </c>
      <c r="F417" s="20" t="s">
        <v>818</v>
      </c>
      <c r="G417" s="20" t="s">
        <v>820</v>
      </c>
      <c r="H417" s="20" t="s">
        <v>823</v>
      </c>
      <c r="I417" s="20" t="s">
        <v>822</v>
      </c>
      <c r="J417" s="21">
        <f t="shared" ca="1" si="12"/>
        <v>905</v>
      </c>
      <c r="K417" s="20" t="str">
        <f t="shared" ca="1" si="13"/>
        <v>Overdue</v>
      </c>
    </row>
    <row r="418" spans="1:11" x14ac:dyDescent="0.3">
      <c r="A418" s="18" t="s">
        <v>425</v>
      </c>
      <c r="B418" s="18" t="s">
        <v>812</v>
      </c>
      <c r="C418" s="19">
        <v>44969</v>
      </c>
      <c r="D418" s="19">
        <v>44999</v>
      </c>
      <c r="E418" s="17">
        <v>2515.5700000000002</v>
      </c>
      <c r="F418" s="20" t="s">
        <v>816</v>
      </c>
      <c r="G418" s="20" t="s">
        <v>819</v>
      </c>
      <c r="H418" s="20" t="s">
        <v>823</v>
      </c>
      <c r="I418" s="20" t="s">
        <v>822</v>
      </c>
      <c r="J418" s="21">
        <f t="shared" ca="1" si="12"/>
        <v>1196</v>
      </c>
      <c r="K418" s="20" t="str">
        <f t="shared" ca="1" si="13"/>
        <v>Overdue</v>
      </c>
    </row>
    <row r="419" spans="1:11" x14ac:dyDescent="0.3">
      <c r="A419" s="18" t="s">
        <v>426</v>
      </c>
      <c r="B419" s="18" t="s">
        <v>812</v>
      </c>
      <c r="C419" s="19">
        <v>45265</v>
      </c>
      <c r="D419" s="19">
        <v>45295</v>
      </c>
      <c r="E419" s="17">
        <v>1960.15</v>
      </c>
      <c r="F419" s="20" t="s">
        <v>817</v>
      </c>
      <c r="G419" s="20" t="s">
        <v>820</v>
      </c>
      <c r="H419" s="20" t="s">
        <v>823</v>
      </c>
      <c r="I419" s="20" t="s">
        <v>822</v>
      </c>
      <c r="J419" s="21">
        <f t="shared" ca="1" si="12"/>
        <v>900</v>
      </c>
      <c r="K419" s="20" t="str">
        <f t="shared" ca="1" si="13"/>
        <v>Overdue</v>
      </c>
    </row>
    <row r="420" spans="1:11" x14ac:dyDescent="0.3">
      <c r="A420" s="18" t="s">
        <v>427</v>
      </c>
      <c r="B420" s="18" t="s">
        <v>811</v>
      </c>
      <c r="C420" s="19">
        <v>45131</v>
      </c>
      <c r="D420" s="19">
        <v>45161</v>
      </c>
      <c r="E420" s="17">
        <v>3168.02</v>
      </c>
      <c r="F420" s="20" t="s">
        <v>818</v>
      </c>
      <c r="G420" s="20" t="s">
        <v>820</v>
      </c>
      <c r="H420" s="20" t="s">
        <v>823</v>
      </c>
      <c r="I420" s="20" t="s">
        <v>822</v>
      </c>
      <c r="J420" s="21">
        <f t="shared" ca="1" si="12"/>
        <v>1034</v>
      </c>
      <c r="K420" s="20" t="str">
        <f t="shared" ca="1" si="13"/>
        <v>Overdue</v>
      </c>
    </row>
    <row r="421" spans="1:11" x14ac:dyDescent="0.3">
      <c r="A421" s="18" t="s">
        <v>428</v>
      </c>
      <c r="B421" s="18" t="s">
        <v>813</v>
      </c>
      <c r="C421" s="19">
        <v>45077</v>
      </c>
      <c r="D421" s="19">
        <v>45107</v>
      </c>
      <c r="E421" s="17">
        <v>576.42999999999995</v>
      </c>
      <c r="F421" s="20" t="s">
        <v>817</v>
      </c>
      <c r="G421" s="20" t="s">
        <v>821</v>
      </c>
      <c r="H421" s="22">
        <v>45107</v>
      </c>
      <c r="I421" s="20" t="s">
        <v>822</v>
      </c>
      <c r="J421" s="21">
        <f t="shared" ca="1" si="12"/>
        <v>1088</v>
      </c>
      <c r="K421" s="20" t="str">
        <f t="shared" ca="1" si="13"/>
        <v>OK</v>
      </c>
    </row>
    <row r="422" spans="1:11" x14ac:dyDescent="0.3">
      <c r="A422" s="18" t="s">
        <v>429</v>
      </c>
      <c r="B422" s="18" t="s">
        <v>812</v>
      </c>
      <c r="C422" s="19">
        <v>45670</v>
      </c>
      <c r="D422" s="19">
        <v>45700</v>
      </c>
      <c r="E422" s="17">
        <v>460.35</v>
      </c>
      <c r="F422" s="20" t="s">
        <v>817</v>
      </c>
      <c r="G422" s="20" t="s">
        <v>819</v>
      </c>
      <c r="H422" s="20" t="s">
        <v>823</v>
      </c>
      <c r="I422" s="20" t="s">
        <v>822</v>
      </c>
      <c r="J422" s="21">
        <f t="shared" ca="1" si="12"/>
        <v>495</v>
      </c>
      <c r="K422" s="20" t="str">
        <f t="shared" ca="1" si="13"/>
        <v>Overdue</v>
      </c>
    </row>
    <row r="423" spans="1:11" x14ac:dyDescent="0.3">
      <c r="A423" s="18" t="s">
        <v>430</v>
      </c>
      <c r="B423" s="18" t="s">
        <v>812</v>
      </c>
      <c r="C423" s="19">
        <v>45704</v>
      </c>
      <c r="D423" s="19">
        <v>45734</v>
      </c>
      <c r="E423" s="17">
        <v>2305.42</v>
      </c>
      <c r="F423" s="20" t="s">
        <v>817</v>
      </c>
      <c r="G423" s="20" t="s">
        <v>819</v>
      </c>
      <c r="H423" s="20" t="s">
        <v>823</v>
      </c>
      <c r="I423" s="20" t="s">
        <v>822</v>
      </c>
      <c r="J423" s="21">
        <f t="shared" ca="1" si="12"/>
        <v>461</v>
      </c>
      <c r="K423" s="20" t="str">
        <f t="shared" ca="1" si="13"/>
        <v>Overdue</v>
      </c>
    </row>
    <row r="424" spans="1:11" x14ac:dyDescent="0.3">
      <c r="A424" s="18" t="s">
        <v>431</v>
      </c>
      <c r="B424" s="18" t="s">
        <v>811</v>
      </c>
      <c r="C424" s="19">
        <v>45276</v>
      </c>
      <c r="D424" s="19">
        <v>45306</v>
      </c>
      <c r="E424" s="17">
        <v>2623.62</v>
      </c>
      <c r="F424" s="20" t="s">
        <v>816</v>
      </c>
      <c r="G424" s="20" t="s">
        <v>820</v>
      </c>
      <c r="H424" s="20" t="s">
        <v>823</v>
      </c>
      <c r="I424" s="20" t="s">
        <v>822</v>
      </c>
      <c r="J424" s="21">
        <f t="shared" ca="1" si="12"/>
        <v>889</v>
      </c>
      <c r="K424" s="20" t="str">
        <f t="shared" ca="1" si="13"/>
        <v>Overdue</v>
      </c>
    </row>
    <row r="425" spans="1:11" x14ac:dyDescent="0.3">
      <c r="A425" s="18" t="s">
        <v>432</v>
      </c>
      <c r="B425" s="18" t="s">
        <v>810</v>
      </c>
      <c r="C425" s="19">
        <v>45342</v>
      </c>
      <c r="D425" s="19">
        <v>45372</v>
      </c>
      <c r="E425" s="17">
        <v>1571.77</v>
      </c>
      <c r="F425" s="20" t="s">
        <v>814</v>
      </c>
      <c r="G425" s="20" t="s">
        <v>819</v>
      </c>
      <c r="H425" s="20" t="s">
        <v>823</v>
      </c>
      <c r="I425" s="20" t="s">
        <v>822</v>
      </c>
      <c r="J425" s="21">
        <f t="shared" ca="1" si="12"/>
        <v>823</v>
      </c>
      <c r="K425" s="20" t="str">
        <f t="shared" ca="1" si="13"/>
        <v>Overdue</v>
      </c>
    </row>
    <row r="426" spans="1:11" x14ac:dyDescent="0.3">
      <c r="A426" s="18" t="s">
        <v>433</v>
      </c>
      <c r="B426" s="18" t="s">
        <v>810</v>
      </c>
      <c r="C426" s="19">
        <v>45061</v>
      </c>
      <c r="D426" s="19">
        <v>45091</v>
      </c>
      <c r="E426" s="17">
        <v>4241.5600000000004</v>
      </c>
      <c r="F426" s="20" t="s">
        <v>815</v>
      </c>
      <c r="G426" s="20" t="s">
        <v>819</v>
      </c>
      <c r="H426" s="20" t="s">
        <v>823</v>
      </c>
      <c r="I426" s="20" t="s">
        <v>822</v>
      </c>
      <c r="J426" s="21">
        <f t="shared" ca="1" si="12"/>
        <v>1104</v>
      </c>
      <c r="K426" s="20" t="str">
        <f t="shared" ca="1" si="13"/>
        <v>Overdue</v>
      </c>
    </row>
    <row r="427" spans="1:11" x14ac:dyDescent="0.3">
      <c r="A427" s="18" t="s">
        <v>434</v>
      </c>
      <c r="B427" s="18" t="s">
        <v>809</v>
      </c>
      <c r="C427" s="19">
        <v>45086</v>
      </c>
      <c r="D427" s="19">
        <v>45116</v>
      </c>
      <c r="E427" s="17">
        <v>3066.36</v>
      </c>
      <c r="F427" s="20" t="s">
        <v>815</v>
      </c>
      <c r="G427" s="20" t="s">
        <v>821</v>
      </c>
      <c r="H427" s="22">
        <v>45116</v>
      </c>
      <c r="I427" s="20" t="s">
        <v>822</v>
      </c>
      <c r="J427" s="21">
        <f t="shared" ca="1" si="12"/>
        <v>1079</v>
      </c>
      <c r="K427" s="20" t="str">
        <f t="shared" ca="1" si="13"/>
        <v>OK</v>
      </c>
    </row>
    <row r="428" spans="1:11" x14ac:dyDescent="0.3">
      <c r="A428" s="18" t="s">
        <v>435</v>
      </c>
      <c r="B428" s="18" t="s">
        <v>811</v>
      </c>
      <c r="C428" s="19">
        <v>45653</v>
      </c>
      <c r="D428" s="19">
        <v>45683</v>
      </c>
      <c r="E428" s="17">
        <v>1623.29</v>
      </c>
      <c r="F428" s="20" t="s">
        <v>818</v>
      </c>
      <c r="G428" s="20" t="s">
        <v>820</v>
      </c>
      <c r="H428" s="20" t="s">
        <v>823</v>
      </c>
      <c r="I428" s="20" t="s">
        <v>822</v>
      </c>
      <c r="J428" s="21">
        <f t="shared" ca="1" si="12"/>
        <v>512</v>
      </c>
      <c r="K428" s="20" t="str">
        <f t="shared" ca="1" si="13"/>
        <v>Overdue</v>
      </c>
    </row>
    <row r="429" spans="1:11" x14ac:dyDescent="0.3">
      <c r="A429" s="18" t="s">
        <v>436</v>
      </c>
      <c r="B429" s="18" t="s">
        <v>809</v>
      </c>
      <c r="C429" s="19">
        <v>45115</v>
      </c>
      <c r="D429" s="19">
        <v>45145</v>
      </c>
      <c r="E429" s="17">
        <v>4738.84</v>
      </c>
      <c r="F429" s="20" t="s">
        <v>817</v>
      </c>
      <c r="G429" s="20" t="s">
        <v>820</v>
      </c>
      <c r="H429" s="20" t="s">
        <v>823</v>
      </c>
      <c r="I429" s="20" t="s">
        <v>822</v>
      </c>
      <c r="J429" s="21">
        <f t="shared" ca="1" si="12"/>
        <v>1050</v>
      </c>
      <c r="K429" s="20" t="str">
        <f t="shared" ca="1" si="13"/>
        <v>Overdue</v>
      </c>
    </row>
    <row r="430" spans="1:11" x14ac:dyDescent="0.3">
      <c r="A430" s="18" t="s">
        <v>437</v>
      </c>
      <c r="B430" s="18" t="s">
        <v>809</v>
      </c>
      <c r="C430" s="19">
        <v>45179</v>
      </c>
      <c r="D430" s="19">
        <v>45209</v>
      </c>
      <c r="E430" s="17">
        <v>2769.92</v>
      </c>
      <c r="F430" s="20" t="s">
        <v>815</v>
      </c>
      <c r="G430" s="20" t="s">
        <v>820</v>
      </c>
      <c r="H430" s="20" t="s">
        <v>823</v>
      </c>
      <c r="I430" s="20" t="s">
        <v>822</v>
      </c>
      <c r="J430" s="21">
        <f t="shared" ca="1" si="12"/>
        <v>986</v>
      </c>
      <c r="K430" s="20" t="str">
        <f t="shared" ca="1" si="13"/>
        <v>Overdue</v>
      </c>
    </row>
    <row r="431" spans="1:11" x14ac:dyDescent="0.3">
      <c r="A431" s="18" t="s">
        <v>438</v>
      </c>
      <c r="B431" s="18" t="s">
        <v>809</v>
      </c>
      <c r="C431" s="19">
        <v>45641</v>
      </c>
      <c r="D431" s="19">
        <v>45671</v>
      </c>
      <c r="E431" s="17">
        <v>2883.34</v>
      </c>
      <c r="F431" s="20" t="s">
        <v>816</v>
      </c>
      <c r="G431" s="20" t="s">
        <v>819</v>
      </c>
      <c r="H431" s="20" t="s">
        <v>823</v>
      </c>
      <c r="I431" s="20" t="s">
        <v>822</v>
      </c>
      <c r="J431" s="21">
        <f t="shared" ca="1" si="12"/>
        <v>524</v>
      </c>
      <c r="K431" s="20" t="str">
        <f t="shared" ca="1" si="13"/>
        <v>Overdue</v>
      </c>
    </row>
    <row r="432" spans="1:11" x14ac:dyDescent="0.3">
      <c r="A432" s="18" t="s">
        <v>439</v>
      </c>
      <c r="B432" s="18" t="s">
        <v>811</v>
      </c>
      <c r="C432" s="19">
        <v>45447</v>
      </c>
      <c r="D432" s="19">
        <v>45477</v>
      </c>
      <c r="E432" s="17">
        <v>2334.1799999999998</v>
      </c>
      <c r="F432" s="20" t="s">
        <v>818</v>
      </c>
      <c r="G432" s="20" t="s">
        <v>819</v>
      </c>
      <c r="H432" s="20" t="s">
        <v>823</v>
      </c>
      <c r="I432" s="20" t="s">
        <v>822</v>
      </c>
      <c r="J432" s="21">
        <f t="shared" ca="1" si="12"/>
        <v>718</v>
      </c>
      <c r="K432" s="20" t="str">
        <f t="shared" ca="1" si="13"/>
        <v>Overdue</v>
      </c>
    </row>
    <row r="433" spans="1:11" x14ac:dyDescent="0.3">
      <c r="A433" s="18" t="s">
        <v>440</v>
      </c>
      <c r="B433" s="18" t="s">
        <v>813</v>
      </c>
      <c r="C433" s="19">
        <v>45219</v>
      </c>
      <c r="D433" s="19">
        <v>45249</v>
      </c>
      <c r="E433" s="17">
        <v>3148.17</v>
      </c>
      <c r="F433" s="20" t="s">
        <v>817</v>
      </c>
      <c r="G433" s="20" t="s">
        <v>819</v>
      </c>
      <c r="H433" s="20" t="s">
        <v>823</v>
      </c>
      <c r="I433" s="20" t="s">
        <v>822</v>
      </c>
      <c r="J433" s="21">
        <f t="shared" ca="1" si="12"/>
        <v>946</v>
      </c>
      <c r="K433" s="20" t="str">
        <f t="shared" ca="1" si="13"/>
        <v>Overdue</v>
      </c>
    </row>
    <row r="434" spans="1:11" x14ac:dyDescent="0.3">
      <c r="A434" s="18" t="s">
        <v>441</v>
      </c>
      <c r="B434" s="18" t="s">
        <v>813</v>
      </c>
      <c r="C434" s="19">
        <v>45573</v>
      </c>
      <c r="D434" s="19">
        <v>45603</v>
      </c>
      <c r="E434" s="17">
        <v>1378.14</v>
      </c>
      <c r="F434" s="20" t="s">
        <v>816</v>
      </c>
      <c r="G434" s="20" t="s">
        <v>821</v>
      </c>
      <c r="H434" s="22">
        <v>45603</v>
      </c>
      <c r="I434" s="20" t="s">
        <v>822</v>
      </c>
      <c r="J434" s="21">
        <f t="shared" ca="1" si="12"/>
        <v>592</v>
      </c>
      <c r="K434" s="20" t="str">
        <f t="shared" ca="1" si="13"/>
        <v>OK</v>
      </c>
    </row>
    <row r="435" spans="1:11" x14ac:dyDescent="0.3">
      <c r="A435" s="18" t="s">
        <v>442</v>
      </c>
      <c r="B435" s="18" t="s">
        <v>812</v>
      </c>
      <c r="C435" s="19">
        <v>45699</v>
      </c>
      <c r="D435" s="19">
        <v>45729</v>
      </c>
      <c r="E435" s="17">
        <v>275.33999999999997</v>
      </c>
      <c r="F435" s="20" t="s">
        <v>816</v>
      </c>
      <c r="G435" s="20" t="s">
        <v>819</v>
      </c>
      <c r="H435" s="20" t="s">
        <v>823</v>
      </c>
      <c r="I435" s="20" t="s">
        <v>822</v>
      </c>
      <c r="J435" s="21">
        <f t="shared" ca="1" si="12"/>
        <v>466</v>
      </c>
      <c r="K435" s="20" t="str">
        <f t="shared" ca="1" si="13"/>
        <v>Overdue</v>
      </c>
    </row>
    <row r="436" spans="1:11" x14ac:dyDescent="0.3">
      <c r="A436" s="18" t="s">
        <v>443</v>
      </c>
      <c r="B436" s="18" t="s">
        <v>809</v>
      </c>
      <c r="C436" s="19">
        <v>45016</v>
      </c>
      <c r="D436" s="19">
        <v>45046</v>
      </c>
      <c r="E436" s="17">
        <v>2274.14</v>
      </c>
      <c r="F436" s="20" t="s">
        <v>814</v>
      </c>
      <c r="G436" s="20" t="s">
        <v>820</v>
      </c>
      <c r="H436" s="20" t="s">
        <v>823</v>
      </c>
      <c r="I436" s="20" t="s">
        <v>822</v>
      </c>
      <c r="J436" s="21">
        <f t="shared" ca="1" si="12"/>
        <v>1149</v>
      </c>
      <c r="K436" s="20" t="str">
        <f t="shared" ca="1" si="13"/>
        <v>Overdue</v>
      </c>
    </row>
    <row r="437" spans="1:11" x14ac:dyDescent="0.3">
      <c r="A437" s="18" t="s">
        <v>444</v>
      </c>
      <c r="B437" s="18" t="s">
        <v>812</v>
      </c>
      <c r="C437" s="19">
        <v>45181</v>
      </c>
      <c r="D437" s="19">
        <v>45211</v>
      </c>
      <c r="E437" s="17">
        <v>800.97</v>
      </c>
      <c r="F437" s="20" t="s">
        <v>815</v>
      </c>
      <c r="G437" s="20" t="s">
        <v>821</v>
      </c>
      <c r="H437" s="22">
        <v>45211</v>
      </c>
      <c r="I437" s="20" t="s">
        <v>822</v>
      </c>
      <c r="J437" s="21">
        <f t="shared" ca="1" si="12"/>
        <v>984</v>
      </c>
      <c r="K437" s="20" t="str">
        <f t="shared" ca="1" si="13"/>
        <v>OK</v>
      </c>
    </row>
    <row r="438" spans="1:11" x14ac:dyDescent="0.3">
      <c r="A438" s="18" t="s">
        <v>445</v>
      </c>
      <c r="B438" s="18" t="s">
        <v>811</v>
      </c>
      <c r="C438" s="19">
        <v>44964</v>
      </c>
      <c r="D438" s="19">
        <v>44994</v>
      </c>
      <c r="E438" s="17">
        <v>2595.11</v>
      </c>
      <c r="F438" s="20" t="s">
        <v>818</v>
      </c>
      <c r="G438" s="20" t="s">
        <v>819</v>
      </c>
      <c r="H438" s="20" t="s">
        <v>823</v>
      </c>
      <c r="I438" s="20" t="s">
        <v>822</v>
      </c>
      <c r="J438" s="21">
        <f t="shared" ca="1" si="12"/>
        <v>1201</v>
      </c>
      <c r="K438" s="20" t="str">
        <f t="shared" ca="1" si="13"/>
        <v>Overdue</v>
      </c>
    </row>
    <row r="439" spans="1:11" x14ac:dyDescent="0.3">
      <c r="A439" s="18" t="s">
        <v>446</v>
      </c>
      <c r="B439" s="18" t="s">
        <v>812</v>
      </c>
      <c r="C439" s="19">
        <v>45210</v>
      </c>
      <c r="D439" s="19">
        <v>45240</v>
      </c>
      <c r="E439" s="17">
        <v>4967.66</v>
      </c>
      <c r="F439" s="20" t="s">
        <v>817</v>
      </c>
      <c r="G439" s="20" t="s">
        <v>821</v>
      </c>
      <c r="H439" s="22">
        <v>45240</v>
      </c>
      <c r="I439" s="20" t="s">
        <v>822</v>
      </c>
      <c r="J439" s="21">
        <f t="shared" ca="1" si="12"/>
        <v>955</v>
      </c>
      <c r="K439" s="20" t="str">
        <f t="shared" ca="1" si="13"/>
        <v>OK</v>
      </c>
    </row>
    <row r="440" spans="1:11" x14ac:dyDescent="0.3">
      <c r="A440" s="18" t="s">
        <v>447</v>
      </c>
      <c r="B440" s="18" t="s">
        <v>809</v>
      </c>
      <c r="C440" s="19">
        <v>45361</v>
      </c>
      <c r="D440" s="19">
        <v>45391</v>
      </c>
      <c r="E440" s="17">
        <v>523.04999999999995</v>
      </c>
      <c r="F440" s="20" t="s">
        <v>814</v>
      </c>
      <c r="G440" s="20" t="s">
        <v>819</v>
      </c>
      <c r="H440" s="20" t="s">
        <v>823</v>
      </c>
      <c r="I440" s="20" t="s">
        <v>822</v>
      </c>
      <c r="J440" s="21">
        <f t="shared" ca="1" si="12"/>
        <v>804</v>
      </c>
      <c r="K440" s="20" t="str">
        <f t="shared" ca="1" si="13"/>
        <v>Overdue</v>
      </c>
    </row>
    <row r="441" spans="1:11" x14ac:dyDescent="0.3">
      <c r="A441" s="18" t="s">
        <v>448</v>
      </c>
      <c r="B441" s="18" t="s">
        <v>811</v>
      </c>
      <c r="C441" s="19">
        <v>45075</v>
      </c>
      <c r="D441" s="19">
        <v>45105</v>
      </c>
      <c r="E441" s="17">
        <v>3485.01</v>
      </c>
      <c r="F441" s="20" t="s">
        <v>814</v>
      </c>
      <c r="G441" s="20" t="s">
        <v>821</v>
      </c>
      <c r="H441" s="22">
        <v>45105</v>
      </c>
      <c r="I441" s="20" t="s">
        <v>822</v>
      </c>
      <c r="J441" s="21">
        <f t="shared" ca="1" si="12"/>
        <v>1090</v>
      </c>
      <c r="K441" s="20" t="str">
        <f t="shared" ca="1" si="13"/>
        <v>OK</v>
      </c>
    </row>
    <row r="442" spans="1:11" x14ac:dyDescent="0.3">
      <c r="A442" s="18" t="s">
        <v>449</v>
      </c>
      <c r="B442" s="18" t="s">
        <v>810</v>
      </c>
      <c r="C442" s="19">
        <v>44961</v>
      </c>
      <c r="D442" s="19">
        <v>44991</v>
      </c>
      <c r="E442" s="17">
        <v>2251.04</v>
      </c>
      <c r="F442" s="20" t="s">
        <v>814</v>
      </c>
      <c r="G442" s="20" t="s">
        <v>821</v>
      </c>
      <c r="H442" s="22">
        <v>44991</v>
      </c>
      <c r="I442" s="20" t="s">
        <v>822</v>
      </c>
      <c r="J442" s="21">
        <f t="shared" ca="1" si="12"/>
        <v>1204</v>
      </c>
      <c r="K442" s="20" t="str">
        <f t="shared" ca="1" si="13"/>
        <v>OK</v>
      </c>
    </row>
    <row r="443" spans="1:11" x14ac:dyDescent="0.3">
      <c r="A443" s="18" t="s">
        <v>450</v>
      </c>
      <c r="B443" s="18" t="s">
        <v>813</v>
      </c>
      <c r="C443" s="19">
        <v>45210</v>
      </c>
      <c r="D443" s="19">
        <v>45240</v>
      </c>
      <c r="E443" s="17">
        <v>3521.51</v>
      </c>
      <c r="F443" s="20" t="s">
        <v>816</v>
      </c>
      <c r="G443" s="20" t="s">
        <v>821</v>
      </c>
      <c r="H443" s="22">
        <v>45240</v>
      </c>
      <c r="I443" s="20" t="s">
        <v>822</v>
      </c>
      <c r="J443" s="21">
        <f t="shared" ca="1" si="12"/>
        <v>955</v>
      </c>
      <c r="K443" s="20" t="str">
        <f t="shared" ca="1" si="13"/>
        <v>OK</v>
      </c>
    </row>
    <row r="444" spans="1:11" x14ac:dyDescent="0.3">
      <c r="A444" s="18" t="s">
        <v>451</v>
      </c>
      <c r="B444" s="18" t="s">
        <v>810</v>
      </c>
      <c r="C444" s="19">
        <v>45756</v>
      </c>
      <c r="D444" s="19">
        <v>45786</v>
      </c>
      <c r="E444" s="17">
        <v>3808.69</v>
      </c>
      <c r="F444" s="20" t="s">
        <v>815</v>
      </c>
      <c r="G444" s="20" t="s">
        <v>819</v>
      </c>
      <c r="H444" s="20" t="s">
        <v>823</v>
      </c>
      <c r="I444" s="20" t="s">
        <v>822</v>
      </c>
      <c r="J444" s="21">
        <f t="shared" ca="1" si="12"/>
        <v>409</v>
      </c>
      <c r="K444" s="20" t="str">
        <f t="shared" ca="1" si="13"/>
        <v>Overdue</v>
      </c>
    </row>
    <row r="445" spans="1:11" x14ac:dyDescent="0.3">
      <c r="A445" s="18" t="s">
        <v>452</v>
      </c>
      <c r="B445" s="18" t="s">
        <v>811</v>
      </c>
      <c r="C445" s="19">
        <v>45063</v>
      </c>
      <c r="D445" s="19">
        <v>45093</v>
      </c>
      <c r="E445" s="17">
        <v>3920.07</v>
      </c>
      <c r="F445" s="20" t="s">
        <v>818</v>
      </c>
      <c r="G445" s="20" t="s">
        <v>821</v>
      </c>
      <c r="H445" s="22">
        <v>45093</v>
      </c>
      <c r="I445" s="20" t="s">
        <v>822</v>
      </c>
      <c r="J445" s="21">
        <f t="shared" ca="1" si="12"/>
        <v>1102</v>
      </c>
      <c r="K445" s="20" t="str">
        <f t="shared" ca="1" si="13"/>
        <v>OK</v>
      </c>
    </row>
    <row r="446" spans="1:11" x14ac:dyDescent="0.3">
      <c r="A446" s="18" t="s">
        <v>453</v>
      </c>
      <c r="B446" s="18" t="s">
        <v>811</v>
      </c>
      <c r="C446" s="19">
        <v>45007</v>
      </c>
      <c r="D446" s="19">
        <v>45037</v>
      </c>
      <c r="E446" s="17">
        <v>4941.76</v>
      </c>
      <c r="F446" s="20" t="s">
        <v>816</v>
      </c>
      <c r="G446" s="20" t="s">
        <v>820</v>
      </c>
      <c r="H446" s="20" t="s">
        <v>823</v>
      </c>
      <c r="I446" s="20" t="s">
        <v>822</v>
      </c>
      <c r="J446" s="21">
        <f t="shared" ca="1" si="12"/>
        <v>1158</v>
      </c>
      <c r="K446" s="20" t="str">
        <f t="shared" ca="1" si="13"/>
        <v>Overdue</v>
      </c>
    </row>
    <row r="447" spans="1:11" x14ac:dyDescent="0.3">
      <c r="A447" s="18" t="s">
        <v>454</v>
      </c>
      <c r="B447" s="18" t="s">
        <v>811</v>
      </c>
      <c r="C447" s="19">
        <v>45234</v>
      </c>
      <c r="D447" s="19">
        <v>45264</v>
      </c>
      <c r="E447" s="17">
        <v>1079.6099999999999</v>
      </c>
      <c r="F447" s="20" t="s">
        <v>817</v>
      </c>
      <c r="G447" s="20" t="s">
        <v>819</v>
      </c>
      <c r="H447" s="20" t="s">
        <v>823</v>
      </c>
      <c r="I447" s="20" t="s">
        <v>822</v>
      </c>
      <c r="J447" s="21">
        <f t="shared" ca="1" si="12"/>
        <v>931</v>
      </c>
      <c r="K447" s="20" t="str">
        <f t="shared" ca="1" si="13"/>
        <v>Overdue</v>
      </c>
    </row>
    <row r="448" spans="1:11" x14ac:dyDescent="0.3">
      <c r="A448" s="18" t="s">
        <v>455</v>
      </c>
      <c r="B448" s="18" t="s">
        <v>811</v>
      </c>
      <c r="C448" s="19">
        <v>45072</v>
      </c>
      <c r="D448" s="19">
        <v>45102</v>
      </c>
      <c r="E448" s="17">
        <v>4688.33</v>
      </c>
      <c r="F448" s="20" t="s">
        <v>818</v>
      </c>
      <c r="G448" s="20" t="s">
        <v>821</v>
      </c>
      <c r="H448" s="22">
        <v>45102</v>
      </c>
      <c r="I448" s="20" t="s">
        <v>822</v>
      </c>
      <c r="J448" s="21">
        <f t="shared" ca="1" si="12"/>
        <v>1093</v>
      </c>
      <c r="K448" s="20" t="str">
        <f t="shared" ca="1" si="13"/>
        <v>OK</v>
      </c>
    </row>
    <row r="449" spans="1:11" x14ac:dyDescent="0.3">
      <c r="A449" s="18" t="s">
        <v>456</v>
      </c>
      <c r="B449" s="18" t="s">
        <v>811</v>
      </c>
      <c r="C449" s="19">
        <v>45264</v>
      </c>
      <c r="D449" s="19">
        <v>45294</v>
      </c>
      <c r="E449" s="17">
        <v>705.05</v>
      </c>
      <c r="F449" s="20" t="s">
        <v>817</v>
      </c>
      <c r="G449" s="20" t="s">
        <v>820</v>
      </c>
      <c r="H449" s="20" t="s">
        <v>823</v>
      </c>
      <c r="I449" s="20" t="s">
        <v>822</v>
      </c>
      <c r="J449" s="21">
        <f t="shared" ca="1" si="12"/>
        <v>901</v>
      </c>
      <c r="K449" s="20" t="str">
        <f t="shared" ca="1" si="13"/>
        <v>Overdue</v>
      </c>
    </row>
    <row r="450" spans="1:11" x14ac:dyDescent="0.3">
      <c r="A450" s="18" t="s">
        <v>457</v>
      </c>
      <c r="B450" s="18" t="s">
        <v>812</v>
      </c>
      <c r="C450" s="19">
        <v>45068</v>
      </c>
      <c r="D450" s="19">
        <v>45098</v>
      </c>
      <c r="E450" s="17">
        <v>1193.94</v>
      </c>
      <c r="F450" s="20" t="s">
        <v>815</v>
      </c>
      <c r="G450" s="20" t="s">
        <v>819</v>
      </c>
      <c r="H450" s="20" t="s">
        <v>823</v>
      </c>
      <c r="I450" s="20" t="s">
        <v>822</v>
      </c>
      <c r="J450" s="21">
        <f t="shared" ref="J450:J513" ca="1" si="14">TODAY()-D450</f>
        <v>1097</v>
      </c>
      <c r="K450" s="20" t="str">
        <f t="shared" ref="K450:K513" ca="1" si="15">IF(AND(TODAY()&gt;D450,G450&lt;&gt;"Paid"),"Overdue","OK")</f>
        <v>Overdue</v>
      </c>
    </row>
    <row r="451" spans="1:11" x14ac:dyDescent="0.3">
      <c r="A451" s="18" t="s">
        <v>458</v>
      </c>
      <c r="B451" s="18" t="s">
        <v>812</v>
      </c>
      <c r="C451" s="19">
        <v>45571</v>
      </c>
      <c r="D451" s="19">
        <v>45601</v>
      </c>
      <c r="E451" s="17">
        <v>232.29</v>
      </c>
      <c r="F451" s="20" t="s">
        <v>817</v>
      </c>
      <c r="G451" s="20" t="s">
        <v>821</v>
      </c>
      <c r="H451" s="22">
        <v>45601</v>
      </c>
      <c r="I451" s="20" t="s">
        <v>822</v>
      </c>
      <c r="J451" s="21">
        <f t="shared" ca="1" si="14"/>
        <v>594</v>
      </c>
      <c r="K451" s="20" t="str">
        <f t="shared" ca="1" si="15"/>
        <v>OK</v>
      </c>
    </row>
    <row r="452" spans="1:11" x14ac:dyDescent="0.3">
      <c r="A452" s="18" t="s">
        <v>459</v>
      </c>
      <c r="B452" s="18" t="s">
        <v>810</v>
      </c>
      <c r="C452" s="19">
        <v>45317</v>
      </c>
      <c r="D452" s="19">
        <v>45347</v>
      </c>
      <c r="E452" s="17">
        <v>4202.26</v>
      </c>
      <c r="F452" s="20" t="s">
        <v>814</v>
      </c>
      <c r="G452" s="20" t="s">
        <v>820</v>
      </c>
      <c r="H452" s="20" t="s">
        <v>823</v>
      </c>
      <c r="I452" s="20" t="s">
        <v>822</v>
      </c>
      <c r="J452" s="21">
        <f t="shared" ca="1" si="14"/>
        <v>848</v>
      </c>
      <c r="K452" s="20" t="str">
        <f t="shared" ca="1" si="15"/>
        <v>Overdue</v>
      </c>
    </row>
    <row r="453" spans="1:11" x14ac:dyDescent="0.3">
      <c r="A453" s="18" t="s">
        <v>460</v>
      </c>
      <c r="B453" s="18" t="s">
        <v>813</v>
      </c>
      <c r="C453" s="19">
        <v>45315</v>
      </c>
      <c r="D453" s="19">
        <v>45345</v>
      </c>
      <c r="E453" s="17">
        <v>3696.33</v>
      </c>
      <c r="F453" s="20" t="s">
        <v>818</v>
      </c>
      <c r="G453" s="20" t="s">
        <v>821</v>
      </c>
      <c r="H453" s="22">
        <v>45345</v>
      </c>
      <c r="I453" s="20" t="s">
        <v>822</v>
      </c>
      <c r="J453" s="21">
        <f t="shared" ca="1" si="14"/>
        <v>850</v>
      </c>
      <c r="K453" s="20" t="str">
        <f t="shared" ca="1" si="15"/>
        <v>OK</v>
      </c>
    </row>
    <row r="454" spans="1:11" x14ac:dyDescent="0.3">
      <c r="A454" s="18" t="s">
        <v>461</v>
      </c>
      <c r="B454" s="18" t="s">
        <v>812</v>
      </c>
      <c r="C454" s="19">
        <v>45319</v>
      </c>
      <c r="D454" s="19">
        <v>45349</v>
      </c>
      <c r="E454" s="17">
        <v>3133.53</v>
      </c>
      <c r="F454" s="20" t="s">
        <v>817</v>
      </c>
      <c r="G454" s="20" t="s">
        <v>821</v>
      </c>
      <c r="H454" s="22">
        <v>45349</v>
      </c>
      <c r="I454" s="20" t="s">
        <v>822</v>
      </c>
      <c r="J454" s="21">
        <f t="shared" ca="1" si="14"/>
        <v>846</v>
      </c>
      <c r="K454" s="20" t="str">
        <f t="shared" ca="1" si="15"/>
        <v>OK</v>
      </c>
    </row>
    <row r="455" spans="1:11" x14ac:dyDescent="0.3">
      <c r="A455" s="18" t="s">
        <v>462</v>
      </c>
      <c r="B455" s="18" t="s">
        <v>809</v>
      </c>
      <c r="C455" s="19">
        <v>45460</v>
      </c>
      <c r="D455" s="19">
        <v>45490</v>
      </c>
      <c r="E455" s="17">
        <v>2405.39</v>
      </c>
      <c r="F455" s="20" t="s">
        <v>817</v>
      </c>
      <c r="G455" s="20" t="s">
        <v>821</v>
      </c>
      <c r="H455" s="22">
        <v>45490</v>
      </c>
      <c r="I455" s="20" t="s">
        <v>822</v>
      </c>
      <c r="J455" s="21">
        <f t="shared" ca="1" si="14"/>
        <v>705</v>
      </c>
      <c r="K455" s="20" t="str">
        <f t="shared" ca="1" si="15"/>
        <v>OK</v>
      </c>
    </row>
    <row r="456" spans="1:11" x14ac:dyDescent="0.3">
      <c r="A456" s="18" t="s">
        <v>463</v>
      </c>
      <c r="B456" s="18" t="s">
        <v>812</v>
      </c>
      <c r="C456" s="19">
        <v>45302</v>
      </c>
      <c r="D456" s="19">
        <v>45332</v>
      </c>
      <c r="E456" s="17">
        <v>1074.8499999999999</v>
      </c>
      <c r="F456" s="20" t="s">
        <v>817</v>
      </c>
      <c r="G456" s="20" t="s">
        <v>820</v>
      </c>
      <c r="H456" s="20" t="s">
        <v>823</v>
      </c>
      <c r="I456" s="20" t="s">
        <v>822</v>
      </c>
      <c r="J456" s="21">
        <f t="shared" ca="1" si="14"/>
        <v>863</v>
      </c>
      <c r="K456" s="20" t="str">
        <f t="shared" ca="1" si="15"/>
        <v>Overdue</v>
      </c>
    </row>
    <row r="457" spans="1:11" x14ac:dyDescent="0.3">
      <c r="A457" s="18" t="s">
        <v>464</v>
      </c>
      <c r="B457" s="18" t="s">
        <v>811</v>
      </c>
      <c r="C457" s="19">
        <v>45648</v>
      </c>
      <c r="D457" s="19">
        <v>45678</v>
      </c>
      <c r="E457" s="17">
        <v>3359</v>
      </c>
      <c r="F457" s="20" t="s">
        <v>816</v>
      </c>
      <c r="G457" s="20" t="s">
        <v>819</v>
      </c>
      <c r="H457" s="20" t="s">
        <v>823</v>
      </c>
      <c r="I457" s="20" t="s">
        <v>822</v>
      </c>
      <c r="J457" s="21">
        <f t="shared" ca="1" si="14"/>
        <v>517</v>
      </c>
      <c r="K457" s="20" t="str">
        <f t="shared" ca="1" si="15"/>
        <v>Overdue</v>
      </c>
    </row>
    <row r="458" spans="1:11" x14ac:dyDescent="0.3">
      <c r="A458" s="18" t="s">
        <v>465</v>
      </c>
      <c r="B458" s="18" t="s">
        <v>813</v>
      </c>
      <c r="C458" s="19">
        <v>45700</v>
      </c>
      <c r="D458" s="19">
        <v>45730</v>
      </c>
      <c r="E458" s="17">
        <v>419.58</v>
      </c>
      <c r="F458" s="20" t="s">
        <v>818</v>
      </c>
      <c r="G458" s="20" t="s">
        <v>821</v>
      </c>
      <c r="H458" s="22">
        <v>45730</v>
      </c>
      <c r="I458" s="20" t="s">
        <v>822</v>
      </c>
      <c r="J458" s="21">
        <f t="shared" ca="1" si="14"/>
        <v>465</v>
      </c>
      <c r="K458" s="20" t="str">
        <f t="shared" ca="1" si="15"/>
        <v>OK</v>
      </c>
    </row>
    <row r="459" spans="1:11" x14ac:dyDescent="0.3">
      <c r="A459" s="18" t="s">
        <v>466</v>
      </c>
      <c r="B459" s="18" t="s">
        <v>810</v>
      </c>
      <c r="C459" s="19">
        <v>45376</v>
      </c>
      <c r="D459" s="19">
        <v>45406</v>
      </c>
      <c r="E459" s="17">
        <v>1704.27</v>
      </c>
      <c r="F459" s="20" t="s">
        <v>815</v>
      </c>
      <c r="G459" s="20" t="s">
        <v>819</v>
      </c>
      <c r="H459" s="20" t="s">
        <v>823</v>
      </c>
      <c r="I459" s="20" t="s">
        <v>822</v>
      </c>
      <c r="J459" s="21">
        <f t="shared" ca="1" si="14"/>
        <v>789</v>
      </c>
      <c r="K459" s="20" t="str">
        <f t="shared" ca="1" si="15"/>
        <v>Overdue</v>
      </c>
    </row>
    <row r="460" spans="1:11" x14ac:dyDescent="0.3">
      <c r="A460" s="18" t="s">
        <v>467</v>
      </c>
      <c r="B460" s="18" t="s">
        <v>811</v>
      </c>
      <c r="C460" s="19">
        <v>45397</v>
      </c>
      <c r="D460" s="19">
        <v>45427</v>
      </c>
      <c r="E460" s="17">
        <v>1545.19</v>
      </c>
      <c r="F460" s="20" t="s">
        <v>816</v>
      </c>
      <c r="G460" s="20" t="s">
        <v>821</v>
      </c>
      <c r="H460" s="22">
        <v>45427</v>
      </c>
      <c r="I460" s="20" t="s">
        <v>822</v>
      </c>
      <c r="J460" s="21">
        <f t="shared" ca="1" si="14"/>
        <v>768</v>
      </c>
      <c r="K460" s="20" t="str">
        <f t="shared" ca="1" si="15"/>
        <v>OK</v>
      </c>
    </row>
    <row r="461" spans="1:11" x14ac:dyDescent="0.3">
      <c r="A461" s="18" t="s">
        <v>468</v>
      </c>
      <c r="B461" s="18" t="s">
        <v>811</v>
      </c>
      <c r="C461" s="19">
        <v>45198</v>
      </c>
      <c r="D461" s="19">
        <v>45228</v>
      </c>
      <c r="E461" s="17">
        <v>3414.41</v>
      </c>
      <c r="F461" s="20" t="s">
        <v>818</v>
      </c>
      <c r="G461" s="20" t="s">
        <v>820</v>
      </c>
      <c r="H461" s="20" t="s">
        <v>823</v>
      </c>
      <c r="I461" s="20" t="s">
        <v>822</v>
      </c>
      <c r="J461" s="21">
        <f t="shared" ca="1" si="14"/>
        <v>967</v>
      </c>
      <c r="K461" s="20" t="str">
        <f t="shared" ca="1" si="15"/>
        <v>Overdue</v>
      </c>
    </row>
    <row r="462" spans="1:11" x14ac:dyDescent="0.3">
      <c r="A462" s="18" t="s">
        <v>469</v>
      </c>
      <c r="B462" s="18" t="s">
        <v>809</v>
      </c>
      <c r="C462" s="19">
        <v>45779</v>
      </c>
      <c r="D462" s="19">
        <v>45809</v>
      </c>
      <c r="E462" s="17">
        <v>3597.78</v>
      </c>
      <c r="F462" s="20" t="s">
        <v>817</v>
      </c>
      <c r="G462" s="20" t="s">
        <v>820</v>
      </c>
      <c r="H462" s="20" t="s">
        <v>823</v>
      </c>
      <c r="I462" s="20" t="s">
        <v>822</v>
      </c>
      <c r="J462" s="21">
        <f t="shared" ca="1" si="14"/>
        <v>386</v>
      </c>
      <c r="K462" s="20" t="str">
        <f t="shared" ca="1" si="15"/>
        <v>Overdue</v>
      </c>
    </row>
    <row r="463" spans="1:11" x14ac:dyDescent="0.3">
      <c r="A463" s="18" t="s">
        <v>470</v>
      </c>
      <c r="B463" s="18" t="s">
        <v>810</v>
      </c>
      <c r="C463" s="19">
        <v>45599</v>
      </c>
      <c r="D463" s="19">
        <v>45629</v>
      </c>
      <c r="E463" s="17">
        <v>2642.3</v>
      </c>
      <c r="F463" s="20" t="s">
        <v>814</v>
      </c>
      <c r="G463" s="20" t="s">
        <v>819</v>
      </c>
      <c r="H463" s="20" t="s">
        <v>823</v>
      </c>
      <c r="I463" s="20" t="s">
        <v>822</v>
      </c>
      <c r="J463" s="21">
        <f t="shared" ca="1" si="14"/>
        <v>566</v>
      </c>
      <c r="K463" s="20" t="str">
        <f t="shared" ca="1" si="15"/>
        <v>Overdue</v>
      </c>
    </row>
    <row r="464" spans="1:11" x14ac:dyDescent="0.3">
      <c r="A464" s="18" t="s">
        <v>471</v>
      </c>
      <c r="B464" s="18" t="s">
        <v>810</v>
      </c>
      <c r="C464" s="19">
        <v>44983</v>
      </c>
      <c r="D464" s="19">
        <v>45013</v>
      </c>
      <c r="E464" s="17">
        <v>4728.07</v>
      </c>
      <c r="F464" s="20" t="s">
        <v>818</v>
      </c>
      <c r="G464" s="20" t="s">
        <v>820</v>
      </c>
      <c r="H464" s="20" t="s">
        <v>823</v>
      </c>
      <c r="I464" s="20" t="s">
        <v>822</v>
      </c>
      <c r="J464" s="21">
        <f t="shared" ca="1" si="14"/>
        <v>1182</v>
      </c>
      <c r="K464" s="20" t="str">
        <f t="shared" ca="1" si="15"/>
        <v>Overdue</v>
      </c>
    </row>
    <row r="465" spans="1:11" x14ac:dyDescent="0.3">
      <c r="A465" s="18" t="s">
        <v>472</v>
      </c>
      <c r="B465" s="18" t="s">
        <v>813</v>
      </c>
      <c r="C465" s="19">
        <v>45624</v>
      </c>
      <c r="D465" s="19">
        <v>45654</v>
      </c>
      <c r="E465" s="17">
        <v>1560.4</v>
      </c>
      <c r="F465" s="20" t="s">
        <v>815</v>
      </c>
      <c r="G465" s="20" t="s">
        <v>820</v>
      </c>
      <c r="H465" s="20" t="s">
        <v>823</v>
      </c>
      <c r="I465" s="20" t="s">
        <v>822</v>
      </c>
      <c r="J465" s="21">
        <f t="shared" ca="1" si="14"/>
        <v>541</v>
      </c>
      <c r="K465" s="20" t="str">
        <f t="shared" ca="1" si="15"/>
        <v>Overdue</v>
      </c>
    </row>
    <row r="466" spans="1:11" x14ac:dyDescent="0.3">
      <c r="A466" s="18" t="s">
        <v>473</v>
      </c>
      <c r="B466" s="18" t="s">
        <v>812</v>
      </c>
      <c r="C466" s="19">
        <v>45374</v>
      </c>
      <c r="D466" s="19">
        <v>45404</v>
      </c>
      <c r="E466" s="17">
        <v>2026.99</v>
      </c>
      <c r="F466" s="20" t="s">
        <v>816</v>
      </c>
      <c r="G466" s="20" t="s">
        <v>819</v>
      </c>
      <c r="H466" s="20" t="s">
        <v>823</v>
      </c>
      <c r="I466" s="20" t="s">
        <v>822</v>
      </c>
      <c r="J466" s="21">
        <f t="shared" ca="1" si="14"/>
        <v>791</v>
      </c>
      <c r="K466" s="20" t="str">
        <f t="shared" ca="1" si="15"/>
        <v>Overdue</v>
      </c>
    </row>
    <row r="467" spans="1:11" x14ac:dyDescent="0.3">
      <c r="A467" s="18" t="s">
        <v>474</v>
      </c>
      <c r="B467" s="18" t="s">
        <v>809</v>
      </c>
      <c r="C467" s="19">
        <v>45574</v>
      </c>
      <c r="D467" s="19">
        <v>45604</v>
      </c>
      <c r="E467" s="17">
        <v>1142.8399999999999</v>
      </c>
      <c r="F467" s="20" t="s">
        <v>817</v>
      </c>
      <c r="G467" s="20" t="s">
        <v>821</v>
      </c>
      <c r="H467" s="22">
        <v>45604</v>
      </c>
      <c r="I467" s="20" t="s">
        <v>822</v>
      </c>
      <c r="J467" s="21">
        <f t="shared" ca="1" si="14"/>
        <v>591</v>
      </c>
      <c r="K467" s="20" t="str">
        <f t="shared" ca="1" si="15"/>
        <v>OK</v>
      </c>
    </row>
    <row r="468" spans="1:11" x14ac:dyDescent="0.3">
      <c r="A468" s="18" t="s">
        <v>475</v>
      </c>
      <c r="B468" s="18" t="s">
        <v>812</v>
      </c>
      <c r="C468" s="19">
        <v>45414</v>
      </c>
      <c r="D468" s="19">
        <v>45444</v>
      </c>
      <c r="E468" s="17">
        <v>3401.72</v>
      </c>
      <c r="F468" s="20" t="s">
        <v>816</v>
      </c>
      <c r="G468" s="20" t="s">
        <v>819</v>
      </c>
      <c r="H468" s="20" t="s">
        <v>823</v>
      </c>
      <c r="I468" s="20" t="s">
        <v>822</v>
      </c>
      <c r="J468" s="21">
        <f t="shared" ca="1" si="14"/>
        <v>751</v>
      </c>
      <c r="K468" s="20" t="str">
        <f t="shared" ca="1" si="15"/>
        <v>Overdue</v>
      </c>
    </row>
    <row r="469" spans="1:11" x14ac:dyDescent="0.3">
      <c r="A469" s="18" t="s">
        <v>476</v>
      </c>
      <c r="B469" s="18" t="s">
        <v>809</v>
      </c>
      <c r="C469" s="19">
        <v>45076</v>
      </c>
      <c r="D469" s="19">
        <v>45106</v>
      </c>
      <c r="E469" s="17">
        <v>4753.22</v>
      </c>
      <c r="F469" s="20" t="s">
        <v>816</v>
      </c>
      <c r="G469" s="20" t="s">
        <v>820</v>
      </c>
      <c r="H469" s="20" t="s">
        <v>823</v>
      </c>
      <c r="I469" s="20" t="s">
        <v>822</v>
      </c>
      <c r="J469" s="21">
        <f t="shared" ca="1" si="14"/>
        <v>1089</v>
      </c>
      <c r="K469" s="20" t="str">
        <f t="shared" ca="1" si="15"/>
        <v>Overdue</v>
      </c>
    </row>
    <row r="470" spans="1:11" x14ac:dyDescent="0.3">
      <c r="A470" s="18" t="s">
        <v>477</v>
      </c>
      <c r="B470" s="18" t="s">
        <v>809</v>
      </c>
      <c r="C470" s="19">
        <v>45789</v>
      </c>
      <c r="D470" s="19">
        <v>45819</v>
      </c>
      <c r="E470" s="17">
        <v>3640.83</v>
      </c>
      <c r="F470" s="20" t="s">
        <v>816</v>
      </c>
      <c r="G470" s="20" t="s">
        <v>820</v>
      </c>
      <c r="H470" s="20" t="s">
        <v>823</v>
      </c>
      <c r="I470" s="20" t="s">
        <v>822</v>
      </c>
      <c r="J470" s="21">
        <f t="shared" ca="1" si="14"/>
        <v>376</v>
      </c>
      <c r="K470" s="20" t="str">
        <f t="shared" ca="1" si="15"/>
        <v>Overdue</v>
      </c>
    </row>
    <row r="471" spans="1:11" x14ac:dyDescent="0.3">
      <c r="A471" s="18" t="s">
        <v>478</v>
      </c>
      <c r="B471" s="18" t="s">
        <v>810</v>
      </c>
      <c r="C471" s="19">
        <v>45358</v>
      </c>
      <c r="D471" s="19">
        <v>45388</v>
      </c>
      <c r="E471" s="17">
        <v>2662.58</v>
      </c>
      <c r="F471" s="20" t="s">
        <v>815</v>
      </c>
      <c r="G471" s="20" t="s">
        <v>820</v>
      </c>
      <c r="H471" s="20" t="s">
        <v>823</v>
      </c>
      <c r="I471" s="20" t="s">
        <v>822</v>
      </c>
      <c r="J471" s="21">
        <f t="shared" ca="1" si="14"/>
        <v>807</v>
      </c>
      <c r="K471" s="20" t="str">
        <f t="shared" ca="1" si="15"/>
        <v>Overdue</v>
      </c>
    </row>
    <row r="472" spans="1:11" x14ac:dyDescent="0.3">
      <c r="A472" s="18" t="s">
        <v>479</v>
      </c>
      <c r="B472" s="18" t="s">
        <v>809</v>
      </c>
      <c r="C472" s="19">
        <v>45619</v>
      </c>
      <c r="D472" s="19">
        <v>45649</v>
      </c>
      <c r="E472" s="17">
        <v>212.92</v>
      </c>
      <c r="F472" s="20" t="s">
        <v>814</v>
      </c>
      <c r="G472" s="20" t="s">
        <v>819</v>
      </c>
      <c r="H472" s="20" t="s">
        <v>823</v>
      </c>
      <c r="I472" s="20" t="s">
        <v>822</v>
      </c>
      <c r="J472" s="21">
        <f t="shared" ca="1" si="14"/>
        <v>546</v>
      </c>
      <c r="K472" s="20" t="str">
        <f t="shared" ca="1" si="15"/>
        <v>Overdue</v>
      </c>
    </row>
    <row r="473" spans="1:11" x14ac:dyDescent="0.3">
      <c r="A473" s="18" t="s">
        <v>480</v>
      </c>
      <c r="B473" s="18" t="s">
        <v>809</v>
      </c>
      <c r="C473" s="19">
        <v>45254</v>
      </c>
      <c r="D473" s="19">
        <v>45284</v>
      </c>
      <c r="E473" s="17">
        <v>980.09</v>
      </c>
      <c r="F473" s="20" t="s">
        <v>816</v>
      </c>
      <c r="G473" s="20" t="s">
        <v>821</v>
      </c>
      <c r="H473" s="22">
        <v>45284</v>
      </c>
      <c r="I473" s="20" t="s">
        <v>822</v>
      </c>
      <c r="J473" s="21">
        <f t="shared" ca="1" si="14"/>
        <v>911</v>
      </c>
      <c r="K473" s="20" t="str">
        <f t="shared" ca="1" si="15"/>
        <v>OK</v>
      </c>
    </row>
    <row r="474" spans="1:11" x14ac:dyDescent="0.3">
      <c r="A474" s="18" t="s">
        <v>481</v>
      </c>
      <c r="B474" s="18" t="s">
        <v>811</v>
      </c>
      <c r="C474" s="19">
        <v>45262</v>
      </c>
      <c r="D474" s="19">
        <v>45292</v>
      </c>
      <c r="E474" s="17">
        <v>1179.8800000000001</v>
      </c>
      <c r="F474" s="20" t="s">
        <v>816</v>
      </c>
      <c r="G474" s="20" t="s">
        <v>819</v>
      </c>
      <c r="H474" s="20" t="s">
        <v>823</v>
      </c>
      <c r="I474" s="20" t="s">
        <v>822</v>
      </c>
      <c r="J474" s="21">
        <f t="shared" ca="1" si="14"/>
        <v>903</v>
      </c>
      <c r="K474" s="20" t="str">
        <f t="shared" ca="1" si="15"/>
        <v>Overdue</v>
      </c>
    </row>
    <row r="475" spans="1:11" x14ac:dyDescent="0.3">
      <c r="A475" s="18" t="s">
        <v>482</v>
      </c>
      <c r="B475" s="18" t="s">
        <v>810</v>
      </c>
      <c r="C475" s="19">
        <v>45324</v>
      </c>
      <c r="D475" s="19">
        <v>45354</v>
      </c>
      <c r="E475" s="17">
        <v>1750.63</v>
      </c>
      <c r="F475" s="20" t="s">
        <v>818</v>
      </c>
      <c r="G475" s="20" t="s">
        <v>819</v>
      </c>
      <c r="H475" s="20" t="s">
        <v>823</v>
      </c>
      <c r="I475" s="20" t="s">
        <v>822</v>
      </c>
      <c r="J475" s="21">
        <f t="shared" ca="1" si="14"/>
        <v>841</v>
      </c>
      <c r="K475" s="20" t="str">
        <f t="shared" ca="1" si="15"/>
        <v>Overdue</v>
      </c>
    </row>
    <row r="476" spans="1:11" x14ac:dyDescent="0.3">
      <c r="A476" s="18" t="s">
        <v>483</v>
      </c>
      <c r="B476" s="18" t="s">
        <v>810</v>
      </c>
      <c r="C476" s="19">
        <v>45624</v>
      </c>
      <c r="D476" s="19">
        <v>45654</v>
      </c>
      <c r="E476" s="17">
        <v>3207.4</v>
      </c>
      <c r="F476" s="20" t="s">
        <v>818</v>
      </c>
      <c r="G476" s="20" t="s">
        <v>821</v>
      </c>
      <c r="H476" s="22">
        <v>45654</v>
      </c>
      <c r="I476" s="20" t="s">
        <v>822</v>
      </c>
      <c r="J476" s="21">
        <f t="shared" ca="1" si="14"/>
        <v>541</v>
      </c>
      <c r="K476" s="20" t="str">
        <f t="shared" ca="1" si="15"/>
        <v>OK</v>
      </c>
    </row>
    <row r="477" spans="1:11" x14ac:dyDescent="0.3">
      <c r="A477" s="18" t="s">
        <v>484</v>
      </c>
      <c r="B477" s="18" t="s">
        <v>810</v>
      </c>
      <c r="C477" s="19">
        <v>45229</v>
      </c>
      <c r="D477" s="19">
        <v>45259</v>
      </c>
      <c r="E477" s="17">
        <v>2412.71</v>
      </c>
      <c r="F477" s="20" t="s">
        <v>814</v>
      </c>
      <c r="G477" s="20" t="s">
        <v>821</v>
      </c>
      <c r="H477" s="22">
        <v>45259</v>
      </c>
      <c r="I477" s="20" t="s">
        <v>822</v>
      </c>
      <c r="J477" s="21">
        <f t="shared" ca="1" si="14"/>
        <v>936</v>
      </c>
      <c r="K477" s="20" t="str">
        <f t="shared" ca="1" si="15"/>
        <v>OK</v>
      </c>
    </row>
    <row r="478" spans="1:11" x14ac:dyDescent="0.3">
      <c r="A478" s="18" t="s">
        <v>485</v>
      </c>
      <c r="B478" s="18" t="s">
        <v>813</v>
      </c>
      <c r="C478" s="19">
        <v>45235</v>
      </c>
      <c r="D478" s="19">
        <v>45265</v>
      </c>
      <c r="E478" s="17">
        <v>382.4</v>
      </c>
      <c r="F478" s="20" t="s">
        <v>817</v>
      </c>
      <c r="G478" s="20" t="s">
        <v>820</v>
      </c>
      <c r="H478" s="20" t="s">
        <v>823</v>
      </c>
      <c r="I478" s="20" t="s">
        <v>822</v>
      </c>
      <c r="J478" s="21">
        <f t="shared" ca="1" si="14"/>
        <v>930</v>
      </c>
      <c r="K478" s="20" t="str">
        <f t="shared" ca="1" si="15"/>
        <v>Overdue</v>
      </c>
    </row>
    <row r="479" spans="1:11" x14ac:dyDescent="0.3">
      <c r="A479" s="18" t="s">
        <v>486</v>
      </c>
      <c r="B479" s="18" t="s">
        <v>811</v>
      </c>
      <c r="C479" s="19">
        <v>45106</v>
      </c>
      <c r="D479" s="19">
        <v>45136</v>
      </c>
      <c r="E479" s="17">
        <v>4004.66</v>
      </c>
      <c r="F479" s="20" t="s">
        <v>815</v>
      </c>
      <c r="G479" s="20" t="s">
        <v>821</v>
      </c>
      <c r="H479" s="22">
        <v>45136</v>
      </c>
      <c r="I479" s="20" t="s">
        <v>822</v>
      </c>
      <c r="J479" s="21">
        <f t="shared" ca="1" si="14"/>
        <v>1059</v>
      </c>
      <c r="K479" s="20" t="str">
        <f t="shared" ca="1" si="15"/>
        <v>OK</v>
      </c>
    </row>
    <row r="480" spans="1:11" x14ac:dyDescent="0.3">
      <c r="A480" s="18" t="s">
        <v>487</v>
      </c>
      <c r="B480" s="18" t="s">
        <v>812</v>
      </c>
      <c r="C480" s="19">
        <v>45342</v>
      </c>
      <c r="D480" s="19">
        <v>45372</v>
      </c>
      <c r="E480" s="17">
        <v>4777.58</v>
      </c>
      <c r="F480" s="20" t="s">
        <v>818</v>
      </c>
      <c r="G480" s="20" t="s">
        <v>819</v>
      </c>
      <c r="H480" s="20" t="s">
        <v>823</v>
      </c>
      <c r="I480" s="20" t="s">
        <v>822</v>
      </c>
      <c r="J480" s="21">
        <f t="shared" ca="1" si="14"/>
        <v>823</v>
      </c>
      <c r="K480" s="20" t="str">
        <f t="shared" ca="1" si="15"/>
        <v>Overdue</v>
      </c>
    </row>
    <row r="481" spans="1:11" x14ac:dyDescent="0.3">
      <c r="A481" s="18" t="s">
        <v>488</v>
      </c>
      <c r="B481" s="18" t="s">
        <v>810</v>
      </c>
      <c r="C481" s="19">
        <v>45185</v>
      </c>
      <c r="D481" s="19">
        <v>45215</v>
      </c>
      <c r="E481" s="17">
        <v>1599.7</v>
      </c>
      <c r="F481" s="20" t="s">
        <v>816</v>
      </c>
      <c r="G481" s="20" t="s">
        <v>820</v>
      </c>
      <c r="H481" s="20" t="s">
        <v>823</v>
      </c>
      <c r="I481" s="20" t="s">
        <v>822</v>
      </c>
      <c r="J481" s="21">
        <f t="shared" ca="1" si="14"/>
        <v>980</v>
      </c>
      <c r="K481" s="20" t="str">
        <f t="shared" ca="1" si="15"/>
        <v>Overdue</v>
      </c>
    </row>
    <row r="482" spans="1:11" x14ac:dyDescent="0.3">
      <c r="A482" s="18" t="s">
        <v>489</v>
      </c>
      <c r="B482" s="18" t="s">
        <v>810</v>
      </c>
      <c r="C482" s="19">
        <v>45707</v>
      </c>
      <c r="D482" s="19">
        <v>45737</v>
      </c>
      <c r="E482" s="17">
        <v>4973.3</v>
      </c>
      <c r="F482" s="20" t="s">
        <v>817</v>
      </c>
      <c r="G482" s="20" t="s">
        <v>819</v>
      </c>
      <c r="H482" s="20" t="s">
        <v>823</v>
      </c>
      <c r="I482" s="20" t="s">
        <v>822</v>
      </c>
      <c r="J482" s="21">
        <f t="shared" ca="1" si="14"/>
        <v>458</v>
      </c>
      <c r="K482" s="20" t="str">
        <f t="shared" ca="1" si="15"/>
        <v>Overdue</v>
      </c>
    </row>
    <row r="483" spans="1:11" x14ac:dyDescent="0.3">
      <c r="A483" s="18" t="s">
        <v>490</v>
      </c>
      <c r="B483" s="18" t="s">
        <v>811</v>
      </c>
      <c r="C483" s="19">
        <v>45099</v>
      </c>
      <c r="D483" s="19">
        <v>45129</v>
      </c>
      <c r="E483" s="17">
        <v>717.91</v>
      </c>
      <c r="F483" s="20" t="s">
        <v>814</v>
      </c>
      <c r="G483" s="20" t="s">
        <v>819</v>
      </c>
      <c r="H483" s="20" t="s">
        <v>823</v>
      </c>
      <c r="I483" s="20" t="s">
        <v>822</v>
      </c>
      <c r="J483" s="21">
        <f t="shared" ca="1" si="14"/>
        <v>1066</v>
      </c>
      <c r="K483" s="20" t="str">
        <f t="shared" ca="1" si="15"/>
        <v>Overdue</v>
      </c>
    </row>
    <row r="484" spans="1:11" x14ac:dyDescent="0.3">
      <c r="A484" s="18" t="s">
        <v>491</v>
      </c>
      <c r="B484" s="18" t="s">
        <v>812</v>
      </c>
      <c r="C484" s="19">
        <v>45684</v>
      </c>
      <c r="D484" s="19">
        <v>45714</v>
      </c>
      <c r="E484" s="17">
        <v>1388.79</v>
      </c>
      <c r="F484" s="20" t="s">
        <v>816</v>
      </c>
      <c r="G484" s="20" t="s">
        <v>821</v>
      </c>
      <c r="H484" s="22">
        <v>45714</v>
      </c>
      <c r="I484" s="20" t="s">
        <v>822</v>
      </c>
      <c r="J484" s="21">
        <f t="shared" ca="1" si="14"/>
        <v>481</v>
      </c>
      <c r="K484" s="20" t="str">
        <f t="shared" ca="1" si="15"/>
        <v>OK</v>
      </c>
    </row>
    <row r="485" spans="1:11" x14ac:dyDescent="0.3">
      <c r="A485" s="18" t="s">
        <v>492</v>
      </c>
      <c r="B485" s="18" t="s">
        <v>809</v>
      </c>
      <c r="C485" s="19">
        <v>45823</v>
      </c>
      <c r="D485" s="19">
        <v>45853</v>
      </c>
      <c r="E485" s="17">
        <v>669.06</v>
      </c>
      <c r="F485" s="20" t="s">
        <v>816</v>
      </c>
      <c r="G485" s="20" t="s">
        <v>821</v>
      </c>
      <c r="H485" s="22">
        <v>45853</v>
      </c>
      <c r="I485" s="20" t="s">
        <v>822</v>
      </c>
      <c r="J485" s="21">
        <f t="shared" ca="1" si="14"/>
        <v>342</v>
      </c>
      <c r="K485" s="20" t="str">
        <f t="shared" ca="1" si="15"/>
        <v>OK</v>
      </c>
    </row>
    <row r="486" spans="1:11" x14ac:dyDescent="0.3">
      <c r="A486" s="18" t="s">
        <v>493</v>
      </c>
      <c r="B486" s="18" t="s">
        <v>811</v>
      </c>
      <c r="C486" s="19">
        <v>45192</v>
      </c>
      <c r="D486" s="19">
        <v>45222</v>
      </c>
      <c r="E486" s="17">
        <v>158.72</v>
      </c>
      <c r="F486" s="20" t="s">
        <v>818</v>
      </c>
      <c r="G486" s="20" t="s">
        <v>821</v>
      </c>
      <c r="H486" s="22">
        <v>45222</v>
      </c>
      <c r="I486" s="20" t="s">
        <v>822</v>
      </c>
      <c r="J486" s="21">
        <f t="shared" ca="1" si="14"/>
        <v>973</v>
      </c>
      <c r="K486" s="20" t="str">
        <f t="shared" ca="1" si="15"/>
        <v>OK</v>
      </c>
    </row>
    <row r="487" spans="1:11" x14ac:dyDescent="0.3">
      <c r="A487" s="18" t="s">
        <v>494</v>
      </c>
      <c r="B487" s="18" t="s">
        <v>813</v>
      </c>
      <c r="C487" s="19">
        <v>45346</v>
      </c>
      <c r="D487" s="19">
        <v>45376</v>
      </c>
      <c r="E487" s="17">
        <v>502.65</v>
      </c>
      <c r="F487" s="20" t="s">
        <v>817</v>
      </c>
      <c r="G487" s="20" t="s">
        <v>820</v>
      </c>
      <c r="H487" s="20" t="s">
        <v>823</v>
      </c>
      <c r="I487" s="20" t="s">
        <v>822</v>
      </c>
      <c r="J487" s="21">
        <f t="shared" ca="1" si="14"/>
        <v>819</v>
      </c>
      <c r="K487" s="20" t="str">
        <f t="shared" ca="1" si="15"/>
        <v>Overdue</v>
      </c>
    </row>
    <row r="488" spans="1:11" x14ac:dyDescent="0.3">
      <c r="A488" s="18" t="s">
        <v>495</v>
      </c>
      <c r="B488" s="18" t="s">
        <v>812</v>
      </c>
      <c r="C488" s="19">
        <v>44971</v>
      </c>
      <c r="D488" s="19">
        <v>45001</v>
      </c>
      <c r="E488" s="17">
        <v>2135.0100000000002</v>
      </c>
      <c r="F488" s="20" t="s">
        <v>814</v>
      </c>
      <c r="G488" s="20" t="s">
        <v>819</v>
      </c>
      <c r="H488" s="20" t="s">
        <v>823</v>
      </c>
      <c r="I488" s="20" t="s">
        <v>822</v>
      </c>
      <c r="J488" s="21">
        <f t="shared" ca="1" si="14"/>
        <v>1194</v>
      </c>
      <c r="K488" s="20" t="str">
        <f t="shared" ca="1" si="15"/>
        <v>Overdue</v>
      </c>
    </row>
    <row r="489" spans="1:11" x14ac:dyDescent="0.3">
      <c r="A489" s="18" t="s">
        <v>496</v>
      </c>
      <c r="B489" s="18" t="s">
        <v>813</v>
      </c>
      <c r="C489" s="19">
        <v>44937</v>
      </c>
      <c r="D489" s="19">
        <v>44967</v>
      </c>
      <c r="E489" s="17">
        <v>386.6</v>
      </c>
      <c r="F489" s="20" t="s">
        <v>817</v>
      </c>
      <c r="G489" s="20" t="s">
        <v>820</v>
      </c>
      <c r="H489" s="20" t="s">
        <v>823</v>
      </c>
      <c r="I489" s="20" t="s">
        <v>822</v>
      </c>
      <c r="J489" s="21">
        <f t="shared" ca="1" si="14"/>
        <v>1228</v>
      </c>
      <c r="K489" s="20" t="str">
        <f t="shared" ca="1" si="15"/>
        <v>Overdue</v>
      </c>
    </row>
    <row r="490" spans="1:11" x14ac:dyDescent="0.3">
      <c r="A490" s="18" t="s">
        <v>497</v>
      </c>
      <c r="B490" s="18" t="s">
        <v>812</v>
      </c>
      <c r="C490" s="19">
        <v>45131</v>
      </c>
      <c r="D490" s="19">
        <v>45161</v>
      </c>
      <c r="E490" s="17">
        <v>3185.2</v>
      </c>
      <c r="F490" s="20" t="s">
        <v>817</v>
      </c>
      <c r="G490" s="20" t="s">
        <v>819</v>
      </c>
      <c r="H490" s="20" t="s">
        <v>823</v>
      </c>
      <c r="I490" s="20" t="s">
        <v>822</v>
      </c>
      <c r="J490" s="21">
        <f t="shared" ca="1" si="14"/>
        <v>1034</v>
      </c>
      <c r="K490" s="20" t="str">
        <f t="shared" ca="1" si="15"/>
        <v>Overdue</v>
      </c>
    </row>
    <row r="491" spans="1:11" x14ac:dyDescent="0.3">
      <c r="A491" s="18" t="s">
        <v>498</v>
      </c>
      <c r="B491" s="18" t="s">
        <v>812</v>
      </c>
      <c r="C491" s="19">
        <v>45387</v>
      </c>
      <c r="D491" s="19">
        <v>45417</v>
      </c>
      <c r="E491" s="17">
        <v>2817.08</v>
      </c>
      <c r="F491" s="20" t="s">
        <v>815</v>
      </c>
      <c r="G491" s="20" t="s">
        <v>820</v>
      </c>
      <c r="H491" s="20" t="s">
        <v>823</v>
      </c>
      <c r="I491" s="20" t="s">
        <v>822</v>
      </c>
      <c r="J491" s="21">
        <f t="shared" ca="1" si="14"/>
        <v>778</v>
      </c>
      <c r="K491" s="20" t="str">
        <f t="shared" ca="1" si="15"/>
        <v>Overdue</v>
      </c>
    </row>
    <row r="492" spans="1:11" x14ac:dyDescent="0.3">
      <c r="A492" s="18" t="s">
        <v>499</v>
      </c>
      <c r="B492" s="18" t="s">
        <v>813</v>
      </c>
      <c r="C492" s="19">
        <v>44991</v>
      </c>
      <c r="D492" s="19">
        <v>45021</v>
      </c>
      <c r="E492" s="17">
        <v>3897.98</v>
      </c>
      <c r="F492" s="20" t="s">
        <v>818</v>
      </c>
      <c r="G492" s="20" t="s">
        <v>821</v>
      </c>
      <c r="H492" s="22">
        <v>45021</v>
      </c>
      <c r="I492" s="20" t="s">
        <v>822</v>
      </c>
      <c r="J492" s="21">
        <f t="shared" ca="1" si="14"/>
        <v>1174</v>
      </c>
      <c r="K492" s="20" t="str">
        <f t="shared" ca="1" si="15"/>
        <v>OK</v>
      </c>
    </row>
    <row r="493" spans="1:11" x14ac:dyDescent="0.3">
      <c r="A493" s="18" t="s">
        <v>500</v>
      </c>
      <c r="B493" s="18" t="s">
        <v>812</v>
      </c>
      <c r="C493" s="19">
        <v>45631</v>
      </c>
      <c r="D493" s="19">
        <v>45661</v>
      </c>
      <c r="E493" s="17">
        <v>3623.95</v>
      </c>
      <c r="F493" s="20" t="s">
        <v>817</v>
      </c>
      <c r="G493" s="20" t="s">
        <v>820</v>
      </c>
      <c r="H493" s="20" t="s">
        <v>823</v>
      </c>
      <c r="I493" s="20" t="s">
        <v>822</v>
      </c>
      <c r="J493" s="21">
        <f t="shared" ca="1" si="14"/>
        <v>534</v>
      </c>
      <c r="K493" s="20" t="str">
        <f t="shared" ca="1" si="15"/>
        <v>Overdue</v>
      </c>
    </row>
    <row r="494" spans="1:11" x14ac:dyDescent="0.3">
      <c r="A494" s="18" t="s">
        <v>501</v>
      </c>
      <c r="B494" s="18" t="s">
        <v>811</v>
      </c>
      <c r="C494" s="19">
        <v>45433</v>
      </c>
      <c r="D494" s="19">
        <v>45463</v>
      </c>
      <c r="E494" s="17">
        <v>1803.9</v>
      </c>
      <c r="F494" s="20" t="s">
        <v>817</v>
      </c>
      <c r="G494" s="20" t="s">
        <v>820</v>
      </c>
      <c r="H494" s="20" t="s">
        <v>823</v>
      </c>
      <c r="I494" s="20" t="s">
        <v>822</v>
      </c>
      <c r="J494" s="21">
        <f t="shared" ca="1" si="14"/>
        <v>732</v>
      </c>
      <c r="K494" s="20" t="str">
        <f t="shared" ca="1" si="15"/>
        <v>Overdue</v>
      </c>
    </row>
    <row r="495" spans="1:11" x14ac:dyDescent="0.3">
      <c r="A495" s="18" t="s">
        <v>502</v>
      </c>
      <c r="B495" s="18" t="s">
        <v>809</v>
      </c>
      <c r="C495" s="19">
        <v>45106</v>
      </c>
      <c r="D495" s="19">
        <v>45136</v>
      </c>
      <c r="E495" s="17">
        <v>2543.84</v>
      </c>
      <c r="F495" s="20" t="s">
        <v>817</v>
      </c>
      <c r="G495" s="20" t="s">
        <v>820</v>
      </c>
      <c r="H495" s="20" t="s">
        <v>823</v>
      </c>
      <c r="I495" s="20" t="s">
        <v>822</v>
      </c>
      <c r="J495" s="21">
        <f t="shared" ca="1" si="14"/>
        <v>1059</v>
      </c>
      <c r="K495" s="20" t="str">
        <f t="shared" ca="1" si="15"/>
        <v>Overdue</v>
      </c>
    </row>
    <row r="496" spans="1:11" x14ac:dyDescent="0.3">
      <c r="A496" s="18" t="s">
        <v>503</v>
      </c>
      <c r="B496" s="18" t="s">
        <v>813</v>
      </c>
      <c r="C496" s="19">
        <v>45128</v>
      </c>
      <c r="D496" s="19">
        <v>45158</v>
      </c>
      <c r="E496" s="17">
        <v>292.57</v>
      </c>
      <c r="F496" s="20" t="s">
        <v>815</v>
      </c>
      <c r="G496" s="20" t="s">
        <v>819</v>
      </c>
      <c r="H496" s="20" t="s">
        <v>823</v>
      </c>
      <c r="I496" s="20" t="s">
        <v>822</v>
      </c>
      <c r="J496" s="21">
        <f t="shared" ca="1" si="14"/>
        <v>1037</v>
      </c>
      <c r="K496" s="20" t="str">
        <f t="shared" ca="1" si="15"/>
        <v>Overdue</v>
      </c>
    </row>
    <row r="497" spans="1:11" x14ac:dyDescent="0.3">
      <c r="A497" s="18" t="s">
        <v>504</v>
      </c>
      <c r="B497" s="18" t="s">
        <v>811</v>
      </c>
      <c r="C497" s="19">
        <v>45522</v>
      </c>
      <c r="D497" s="19">
        <v>45552</v>
      </c>
      <c r="E497" s="17">
        <v>688.61</v>
      </c>
      <c r="F497" s="20" t="s">
        <v>817</v>
      </c>
      <c r="G497" s="20" t="s">
        <v>821</v>
      </c>
      <c r="H497" s="22">
        <v>45552</v>
      </c>
      <c r="I497" s="20" t="s">
        <v>822</v>
      </c>
      <c r="J497" s="21">
        <f t="shared" ca="1" si="14"/>
        <v>643</v>
      </c>
      <c r="K497" s="20" t="str">
        <f t="shared" ca="1" si="15"/>
        <v>OK</v>
      </c>
    </row>
    <row r="498" spans="1:11" x14ac:dyDescent="0.3">
      <c r="A498" s="18" t="s">
        <v>505</v>
      </c>
      <c r="B498" s="18" t="s">
        <v>812</v>
      </c>
      <c r="C498" s="19">
        <v>45288</v>
      </c>
      <c r="D498" s="19">
        <v>45318</v>
      </c>
      <c r="E498" s="17">
        <v>1121.18</v>
      </c>
      <c r="F498" s="20" t="s">
        <v>817</v>
      </c>
      <c r="G498" s="20" t="s">
        <v>820</v>
      </c>
      <c r="H498" s="20" t="s">
        <v>823</v>
      </c>
      <c r="I498" s="20" t="s">
        <v>822</v>
      </c>
      <c r="J498" s="21">
        <f t="shared" ca="1" si="14"/>
        <v>877</v>
      </c>
      <c r="K498" s="20" t="str">
        <f t="shared" ca="1" si="15"/>
        <v>Overdue</v>
      </c>
    </row>
    <row r="499" spans="1:11" x14ac:dyDescent="0.3">
      <c r="A499" s="18" t="s">
        <v>506</v>
      </c>
      <c r="B499" s="18" t="s">
        <v>810</v>
      </c>
      <c r="C499" s="19">
        <v>45395</v>
      </c>
      <c r="D499" s="19">
        <v>45425</v>
      </c>
      <c r="E499" s="17">
        <v>3953.98</v>
      </c>
      <c r="F499" s="20" t="s">
        <v>814</v>
      </c>
      <c r="G499" s="20" t="s">
        <v>820</v>
      </c>
      <c r="H499" s="20" t="s">
        <v>823</v>
      </c>
      <c r="I499" s="20" t="s">
        <v>822</v>
      </c>
      <c r="J499" s="21">
        <f t="shared" ca="1" si="14"/>
        <v>770</v>
      </c>
      <c r="K499" s="20" t="str">
        <f t="shared" ca="1" si="15"/>
        <v>Overdue</v>
      </c>
    </row>
    <row r="500" spans="1:11" x14ac:dyDescent="0.3">
      <c r="A500" s="18" t="s">
        <v>507</v>
      </c>
      <c r="B500" s="18" t="s">
        <v>811</v>
      </c>
      <c r="C500" s="19">
        <v>45327</v>
      </c>
      <c r="D500" s="19">
        <v>45357</v>
      </c>
      <c r="E500" s="17">
        <v>597.75</v>
      </c>
      <c r="F500" s="20" t="s">
        <v>817</v>
      </c>
      <c r="G500" s="20" t="s">
        <v>819</v>
      </c>
      <c r="H500" s="20" t="s">
        <v>823</v>
      </c>
      <c r="I500" s="20" t="s">
        <v>822</v>
      </c>
      <c r="J500" s="21">
        <f t="shared" ca="1" si="14"/>
        <v>838</v>
      </c>
      <c r="K500" s="20" t="str">
        <f t="shared" ca="1" si="15"/>
        <v>Overdue</v>
      </c>
    </row>
    <row r="501" spans="1:11" x14ac:dyDescent="0.3">
      <c r="A501" s="18" t="s">
        <v>508</v>
      </c>
      <c r="B501" s="18" t="s">
        <v>809</v>
      </c>
      <c r="C501" s="19">
        <v>45680</v>
      </c>
      <c r="D501" s="19">
        <v>45710</v>
      </c>
      <c r="E501" s="17">
        <v>1752.55</v>
      </c>
      <c r="F501" s="20" t="s">
        <v>817</v>
      </c>
      <c r="G501" s="20" t="s">
        <v>819</v>
      </c>
      <c r="H501" s="20" t="s">
        <v>823</v>
      </c>
      <c r="I501" s="20" t="s">
        <v>822</v>
      </c>
      <c r="J501" s="21">
        <f t="shared" ca="1" si="14"/>
        <v>485</v>
      </c>
      <c r="K501" s="20" t="str">
        <f t="shared" ca="1" si="15"/>
        <v>Overdue</v>
      </c>
    </row>
    <row r="502" spans="1:11" x14ac:dyDescent="0.3">
      <c r="A502" s="18" t="s">
        <v>509</v>
      </c>
      <c r="B502" s="18" t="s">
        <v>811</v>
      </c>
      <c r="C502" s="19">
        <v>44998</v>
      </c>
      <c r="D502" s="19">
        <v>45028</v>
      </c>
      <c r="E502" s="17">
        <v>3490.73</v>
      </c>
      <c r="F502" s="20" t="s">
        <v>814</v>
      </c>
      <c r="G502" s="20" t="s">
        <v>819</v>
      </c>
      <c r="H502" s="20" t="s">
        <v>823</v>
      </c>
      <c r="I502" s="20" t="s">
        <v>822</v>
      </c>
      <c r="J502" s="21">
        <f t="shared" ca="1" si="14"/>
        <v>1167</v>
      </c>
      <c r="K502" s="20" t="str">
        <f t="shared" ca="1" si="15"/>
        <v>Overdue</v>
      </c>
    </row>
    <row r="503" spans="1:11" x14ac:dyDescent="0.3">
      <c r="A503" s="18" t="s">
        <v>510</v>
      </c>
      <c r="B503" s="18" t="s">
        <v>809</v>
      </c>
      <c r="C503" s="19">
        <v>45584</v>
      </c>
      <c r="D503" s="19">
        <v>45614</v>
      </c>
      <c r="E503" s="17">
        <v>1143.7</v>
      </c>
      <c r="F503" s="20" t="s">
        <v>818</v>
      </c>
      <c r="G503" s="20" t="s">
        <v>820</v>
      </c>
      <c r="H503" s="20" t="s">
        <v>823</v>
      </c>
      <c r="I503" s="20" t="s">
        <v>822</v>
      </c>
      <c r="J503" s="21">
        <f t="shared" ca="1" si="14"/>
        <v>581</v>
      </c>
      <c r="K503" s="20" t="str">
        <f t="shared" ca="1" si="15"/>
        <v>Overdue</v>
      </c>
    </row>
    <row r="504" spans="1:11" x14ac:dyDescent="0.3">
      <c r="A504" s="18" t="s">
        <v>511</v>
      </c>
      <c r="B504" s="18" t="s">
        <v>813</v>
      </c>
      <c r="C504" s="19">
        <v>45555</v>
      </c>
      <c r="D504" s="19">
        <v>45585</v>
      </c>
      <c r="E504" s="17">
        <v>636.6</v>
      </c>
      <c r="F504" s="20" t="s">
        <v>814</v>
      </c>
      <c r="G504" s="20" t="s">
        <v>821</v>
      </c>
      <c r="H504" s="22">
        <v>45585</v>
      </c>
      <c r="I504" s="20" t="s">
        <v>822</v>
      </c>
      <c r="J504" s="21">
        <f t="shared" ca="1" si="14"/>
        <v>610</v>
      </c>
      <c r="K504" s="20" t="str">
        <f t="shared" ca="1" si="15"/>
        <v>OK</v>
      </c>
    </row>
    <row r="505" spans="1:11" x14ac:dyDescent="0.3">
      <c r="A505" s="18" t="s">
        <v>512</v>
      </c>
      <c r="B505" s="18" t="s">
        <v>810</v>
      </c>
      <c r="C505" s="19">
        <v>45761</v>
      </c>
      <c r="D505" s="19">
        <v>45791</v>
      </c>
      <c r="E505" s="17">
        <v>3339.54</v>
      </c>
      <c r="F505" s="20" t="s">
        <v>814</v>
      </c>
      <c r="G505" s="20" t="s">
        <v>819</v>
      </c>
      <c r="H505" s="20" t="s">
        <v>823</v>
      </c>
      <c r="I505" s="20" t="s">
        <v>822</v>
      </c>
      <c r="J505" s="21">
        <f t="shared" ca="1" si="14"/>
        <v>404</v>
      </c>
      <c r="K505" s="20" t="str">
        <f t="shared" ca="1" si="15"/>
        <v>Overdue</v>
      </c>
    </row>
    <row r="506" spans="1:11" x14ac:dyDescent="0.3">
      <c r="A506" s="18" t="s">
        <v>513</v>
      </c>
      <c r="B506" s="18" t="s">
        <v>809</v>
      </c>
      <c r="C506" s="19">
        <v>45641</v>
      </c>
      <c r="D506" s="19">
        <v>45671</v>
      </c>
      <c r="E506" s="17">
        <v>3555.72</v>
      </c>
      <c r="F506" s="20" t="s">
        <v>814</v>
      </c>
      <c r="G506" s="20" t="s">
        <v>820</v>
      </c>
      <c r="H506" s="20" t="s">
        <v>823</v>
      </c>
      <c r="I506" s="20" t="s">
        <v>822</v>
      </c>
      <c r="J506" s="21">
        <f t="shared" ca="1" si="14"/>
        <v>524</v>
      </c>
      <c r="K506" s="20" t="str">
        <f t="shared" ca="1" si="15"/>
        <v>Overdue</v>
      </c>
    </row>
    <row r="507" spans="1:11" x14ac:dyDescent="0.3">
      <c r="A507" s="18" t="s">
        <v>514</v>
      </c>
      <c r="B507" s="18" t="s">
        <v>811</v>
      </c>
      <c r="C507" s="19">
        <v>45777</v>
      </c>
      <c r="D507" s="19">
        <v>45807</v>
      </c>
      <c r="E507" s="17">
        <v>2971.5</v>
      </c>
      <c r="F507" s="20" t="s">
        <v>817</v>
      </c>
      <c r="G507" s="20" t="s">
        <v>819</v>
      </c>
      <c r="H507" s="20" t="s">
        <v>823</v>
      </c>
      <c r="I507" s="20" t="s">
        <v>822</v>
      </c>
      <c r="J507" s="21">
        <f t="shared" ca="1" si="14"/>
        <v>388</v>
      </c>
      <c r="K507" s="20" t="str">
        <f t="shared" ca="1" si="15"/>
        <v>Overdue</v>
      </c>
    </row>
    <row r="508" spans="1:11" x14ac:dyDescent="0.3">
      <c r="A508" s="18" t="s">
        <v>515</v>
      </c>
      <c r="B508" s="18" t="s">
        <v>809</v>
      </c>
      <c r="C508" s="19">
        <v>45786</v>
      </c>
      <c r="D508" s="19">
        <v>45816</v>
      </c>
      <c r="E508" s="17">
        <v>2945.39</v>
      </c>
      <c r="F508" s="20" t="s">
        <v>818</v>
      </c>
      <c r="G508" s="20" t="s">
        <v>821</v>
      </c>
      <c r="H508" s="22">
        <v>45816</v>
      </c>
      <c r="I508" s="20" t="s">
        <v>822</v>
      </c>
      <c r="J508" s="21">
        <f t="shared" ca="1" si="14"/>
        <v>379</v>
      </c>
      <c r="K508" s="20" t="str">
        <f t="shared" ca="1" si="15"/>
        <v>OK</v>
      </c>
    </row>
    <row r="509" spans="1:11" x14ac:dyDescent="0.3">
      <c r="A509" s="18" t="s">
        <v>516</v>
      </c>
      <c r="B509" s="18" t="s">
        <v>811</v>
      </c>
      <c r="C509" s="19">
        <v>45472</v>
      </c>
      <c r="D509" s="19">
        <v>45502</v>
      </c>
      <c r="E509" s="17">
        <v>4563.8</v>
      </c>
      <c r="F509" s="20" t="s">
        <v>816</v>
      </c>
      <c r="G509" s="20" t="s">
        <v>821</v>
      </c>
      <c r="H509" s="22">
        <v>45502</v>
      </c>
      <c r="I509" s="20" t="s">
        <v>822</v>
      </c>
      <c r="J509" s="21">
        <f t="shared" ca="1" si="14"/>
        <v>693</v>
      </c>
      <c r="K509" s="20" t="str">
        <f t="shared" ca="1" si="15"/>
        <v>OK</v>
      </c>
    </row>
    <row r="510" spans="1:11" x14ac:dyDescent="0.3">
      <c r="A510" s="18" t="s">
        <v>517</v>
      </c>
      <c r="B510" s="18" t="s">
        <v>811</v>
      </c>
      <c r="C510" s="19">
        <v>45002</v>
      </c>
      <c r="D510" s="19">
        <v>45032</v>
      </c>
      <c r="E510" s="17">
        <v>3590.5</v>
      </c>
      <c r="F510" s="20" t="s">
        <v>818</v>
      </c>
      <c r="G510" s="20" t="s">
        <v>819</v>
      </c>
      <c r="H510" s="20" t="s">
        <v>823</v>
      </c>
      <c r="I510" s="20" t="s">
        <v>822</v>
      </c>
      <c r="J510" s="21">
        <f t="shared" ca="1" si="14"/>
        <v>1163</v>
      </c>
      <c r="K510" s="20" t="str">
        <f t="shared" ca="1" si="15"/>
        <v>Overdue</v>
      </c>
    </row>
    <row r="511" spans="1:11" x14ac:dyDescent="0.3">
      <c r="A511" s="18" t="s">
        <v>518</v>
      </c>
      <c r="B511" s="18" t="s">
        <v>811</v>
      </c>
      <c r="C511" s="19">
        <v>44948</v>
      </c>
      <c r="D511" s="19">
        <v>44978</v>
      </c>
      <c r="E511" s="17">
        <v>1989.22</v>
      </c>
      <c r="F511" s="20" t="s">
        <v>814</v>
      </c>
      <c r="G511" s="20" t="s">
        <v>820</v>
      </c>
      <c r="H511" s="20" t="s">
        <v>823</v>
      </c>
      <c r="I511" s="20" t="s">
        <v>822</v>
      </c>
      <c r="J511" s="21">
        <f t="shared" ca="1" si="14"/>
        <v>1217</v>
      </c>
      <c r="K511" s="20" t="str">
        <f t="shared" ca="1" si="15"/>
        <v>Overdue</v>
      </c>
    </row>
    <row r="512" spans="1:11" x14ac:dyDescent="0.3">
      <c r="A512" s="18" t="s">
        <v>519</v>
      </c>
      <c r="B512" s="18" t="s">
        <v>809</v>
      </c>
      <c r="C512" s="19">
        <v>44930</v>
      </c>
      <c r="D512" s="19">
        <v>44960</v>
      </c>
      <c r="E512" s="17">
        <v>4650.78</v>
      </c>
      <c r="F512" s="20" t="s">
        <v>815</v>
      </c>
      <c r="G512" s="20" t="s">
        <v>819</v>
      </c>
      <c r="H512" s="20" t="s">
        <v>823</v>
      </c>
      <c r="I512" s="20" t="s">
        <v>822</v>
      </c>
      <c r="J512" s="21">
        <f t="shared" ca="1" si="14"/>
        <v>1235</v>
      </c>
      <c r="K512" s="20" t="str">
        <f t="shared" ca="1" si="15"/>
        <v>Overdue</v>
      </c>
    </row>
    <row r="513" spans="1:11" x14ac:dyDescent="0.3">
      <c r="A513" s="18" t="s">
        <v>520</v>
      </c>
      <c r="B513" s="18" t="s">
        <v>813</v>
      </c>
      <c r="C513" s="19">
        <v>45118</v>
      </c>
      <c r="D513" s="19">
        <v>45148</v>
      </c>
      <c r="E513" s="17">
        <v>3071.51</v>
      </c>
      <c r="F513" s="20" t="s">
        <v>815</v>
      </c>
      <c r="G513" s="20" t="s">
        <v>820</v>
      </c>
      <c r="H513" s="20" t="s">
        <v>823</v>
      </c>
      <c r="I513" s="20" t="s">
        <v>822</v>
      </c>
      <c r="J513" s="21">
        <f t="shared" ca="1" si="14"/>
        <v>1047</v>
      </c>
      <c r="K513" s="20" t="str">
        <f t="shared" ca="1" si="15"/>
        <v>Overdue</v>
      </c>
    </row>
    <row r="514" spans="1:11" x14ac:dyDescent="0.3">
      <c r="A514" s="18" t="s">
        <v>521</v>
      </c>
      <c r="B514" s="18" t="s">
        <v>811</v>
      </c>
      <c r="C514" s="19">
        <v>45196</v>
      </c>
      <c r="D514" s="19">
        <v>45226</v>
      </c>
      <c r="E514" s="17">
        <v>4956.1099999999997</v>
      </c>
      <c r="F514" s="20" t="s">
        <v>816</v>
      </c>
      <c r="G514" s="20" t="s">
        <v>819</v>
      </c>
      <c r="H514" s="20" t="s">
        <v>823</v>
      </c>
      <c r="I514" s="20" t="s">
        <v>822</v>
      </c>
      <c r="J514" s="21">
        <f t="shared" ref="J514:J577" ca="1" si="16">TODAY()-D514</f>
        <v>969</v>
      </c>
      <c r="K514" s="20" t="str">
        <f t="shared" ref="K514:K577" ca="1" si="17">IF(AND(TODAY()&gt;D514,G514&lt;&gt;"Paid"),"Overdue","OK")</f>
        <v>Overdue</v>
      </c>
    </row>
    <row r="515" spans="1:11" x14ac:dyDescent="0.3">
      <c r="A515" s="18" t="s">
        <v>522</v>
      </c>
      <c r="B515" s="18" t="s">
        <v>809</v>
      </c>
      <c r="C515" s="19">
        <v>45446</v>
      </c>
      <c r="D515" s="19">
        <v>45476</v>
      </c>
      <c r="E515" s="17">
        <v>2561.35</v>
      </c>
      <c r="F515" s="20" t="s">
        <v>818</v>
      </c>
      <c r="G515" s="20" t="s">
        <v>819</v>
      </c>
      <c r="H515" s="20" t="s">
        <v>823</v>
      </c>
      <c r="I515" s="20" t="s">
        <v>822</v>
      </c>
      <c r="J515" s="21">
        <f t="shared" ca="1" si="16"/>
        <v>719</v>
      </c>
      <c r="K515" s="20" t="str">
        <f t="shared" ca="1" si="17"/>
        <v>Overdue</v>
      </c>
    </row>
    <row r="516" spans="1:11" x14ac:dyDescent="0.3">
      <c r="A516" s="18" t="s">
        <v>523</v>
      </c>
      <c r="B516" s="18" t="s">
        <v>811</v>
      </c>
      <c r="C516" s="19">
        <v>45637</v>
      </c>
      <c r="D516" s="19">
        <v>45667</v>
      </c>
      <c r="E516" s="17">
        <v>3812.86</v>
      </c>
      <c r="F516" s="20" t="s">
        <v>816</v>
      </c>
      <c r="G516" s="20" t="s">
        <v>819</v>
      </c>
      <c r="H516" s="20" t="s">
        <v>823</v>
      </c>
      <c r="I516" s="20" t="s">
        <v>822</v>
      </c>
      <c r="J516" s="21">
        <f t="shared" ca="1" si="16"/>
        <v>528</v>
      </c>
      <c r="K516" s="20" t="str">
        <f t="shared" ca="1" si="17"/>
        <v>Overdue</v>
      </c>
    </row>
    <row r="517" spans="1:11" x14ac:dyDescent="0.3">
      <c r="A517" s="18" t="s">
        <v>524</v>
      </c>
      <c r="B517" s="18" t="s">
        <v>810</v>
      </c>
      <c r="C517" s="19">
        <v>45291</v>
      </c>
      <c r="D517" s="19">
        <v>45321</v>
      </c>
      <c r="E517" s="17">
        <v>4798.3</v>
      </c>
      <c r="F517" s="20" t="s">
        <v>815</v>
      </c>
      <c r="G517" s="20" t="s">
        <v>819</v>
      </c>
      <c r="H517" s="20" t="s">
        <v>823</v>
      </c>
      <c r="I517" s="20" t="s">
        <v>822</v>
      </c>
      <c r="J517" s="21">
        <f t="shared" ca="1" si="16"/>
        <v>874</v>
      </c>
      <c r="K517" s="20" t="str">
        <f t="shared" ca="1" si="17"/>
        <v>Overdue</v>
      </c>
    </row>
    <row r="518" spans="1:11" x14ac:dyDescent="0.3">
      <c r="A518" s="18" t="s">
        <v>525</v>
      </c>
      <c r="B518" s="18" t="s">
        <v>810</v>
      </c>
      <c r="C518" s="19">
        <v>45538</v>
      </c>
      <c r="D518" s="19">
        <v>45568</v>
      </c>
      <c r="E518" s="17">
        <v>2626.26</v>
      </c>
      <c r="F518" s="20" t="s">
        <v>815</v>
      </c>
      <c r="G518" s="20" t="s">
        <v>819</v>
      </c>
      <c r="H518" s="20" t="s">
        <v>823</v>
      </c>
      <c r="I518" s="20" t="s">
        <v>822</v>
      </c>
      <c r="J518" s="21">
        <f t="shared" ca="1" si="16"/>
        <v>627</v>
      </c>
      <c r="K518" s="20" t="str">
        <f t="shared" ca="1" si="17"/>
        <v>Overdue</v>
      </c>
    </row>
    <row r="519" spans="1:11" x14ac:dyDescent="0.3">
      <c r="A519" s="18" t="s">
        <v>526</v>
      </c>
      <c r="B519" s="18" t="s">
        <v>813</v>
      </c>
      <c r="C519" s="19">
        <v>45173</v>
      </c>
      <c r="D519" s="19">
        <v>45203</v>
      </c>
      <c r="E519" s="17">
        <v>1667.91</v>
      </c>
      <c r="F519" s="20" t="s">
        <v>815</v>
      </c>
      <c r="G519" s="20" t="s">
        <v>819</v>
      </c>
      <c r="H519" s="20" t="s">
        <v>823</v>
      </c>
      <c r="I519" s="20" t="s">
        <v>822</v>
      </c>
      <c r="J519" s="21">
        <f t="shared" ca="1" si="16"/>
        <v>992</v>
      </c>
      <c r="K519" s="20" t="str">
        <f t="shared" ca="1" si="17"/>
        <v>Overdue</v>
      </c>
    </row>
    <row r="520" spans="1:11" x14ac:dyDescent="0.3">
      <c r="A520" s="18" t="s">
        <v>527</v>
      </c>
      <c r="B520" s="18" t="s">
        <v>809</v>
      </c>
      <c r="C520" s="19">
        <v>45825</v>
      </c>
      <c r="D520" s="19">
        <v>45855</v>
      </c>
      <c r="E520" s="17">
        <v>556.64</v>
      </c>
      <c r="F520" s="20" t="s">
        <v>817</v>
      </c>
      <c r="G520" s="20" t="s">
        <v>820</v>
      </c>
      <c r="H520" s="20" t="s">
        <v>823</v>
      </c>
      <c r="I520" s="20" t="s">
        <v>822</v>
      </c>
      <c r="J520" s="21">
        <f t="shared" ca="1" si="16"/>
        <v>340</v>
      </c>
      <c r="K520" s="20" t="str">
        <f t="shared" ca="1" si="17"/>
        <v>Overdue</v>
      </c>
    </row>
    <row r="521" spans="1:11" x14ac:dyDescent="0.3">
      <c r="A521" s="18" t="s">
        <v>528</v>
      </c>
      <c r="B521" s="18" t="s">
        <v>812</v>
      </c>
      <c r="C521" s="19">
        <v>45671</v>
      </c>
      <c r="D521" s="19">
        <v>45701</v>
      </c>
      <c r="E521" s="17">
        <v>2084.02</v>
      </c>
      <c r="F521" s="20" t="s">
        <v>814</v>
      </c>
      <c r="G521" s="20" t="s">
        <v>820</v>
      </c>
      <c r="H521" s="20" t="s">
        <v>823</v>
      </c>
      <c r="I521" s="20" t="s">
        <v>822</v>
      </c>
      <c r="J521" s="21">
        <f t="shared" ca="1" si="16"/>
        <v>494</v>
      </c>
      <c r="K521" s="20" t="str">
        <f t="shared" ca="1" si="17"/>
        <v>Overdue</v>
      </c>
    </row>
    <row r="522" spans="1:11" x14ac:dyDescent="0.3">
      <c r="A522" s="18" t="s">
        <v>529</v>
      </c>
      <c r="B522" s="18" t="s">
        <v>813</v>
      </c>
      <c r="C522" s="19">
        <v>45348</v>
      </c>
      <c r="D522" s="19">
        <v>45378</v>
      </c>
      <c r="E522" s="17">
        <v>1225.05</v>
      </c>
      <c r="F522" s="20" t="s">
        <v>816</v>
      </c>
      <c r="G522" s="20" t="s">
        <v>820</v>
      </c>
      <c r="H522" s="20" t="s">
        <v>823</v>
      </c>
      <c r="I522" s="20" t="s">
        <v>822</v>
      </c>
      <c r="J522" s="21">
        <f t="shared" ca="1" si="16"/>
        <v>817</v>
      </c>
      <c r="K522" s="20" t="str">
        <f t="shared" ca="1" si="17"/>
        <v>Overdue</v>
      </c>
    </row>
    <row r="523" spans="1:11" x14ac:dyDescent="0.3">
      <c r="A523" s="18" t="s">
        <v>530</v>
      </c>
      <c r="B523" s="18" t="s">
        <v>810</v>
      </c>
      <c r="C523" s="19">
        <v>44937</v>
      </c>
      <c r="D523" s="19">
        <v>44967</v>
      </c>
      <c r="E523" s="17">
        <v>1607.66</v>
      </c>
      <c r="F523" s="20" t="s">
        <v>818</v>
      </c>
      <c r="G523" s="20" t="s">
        <v>820</v>
      </c>
      <c r="H523" s="20" t="s">
        <v>823</v>
      </c>
      <c r="I523" s="20" t="s">
        <v>822</v>
      </c>
      <c r="J523" s="21">
        <f t="shared" ca="1" si="16"/>
        <v>1228</v>
      </c>
      <c r="K523" s="20" t="str">
        <f t="shared" ca="1" si="17"/>
        <v>Overdue</v>
      </c>
    </row>
    <row r="524" spans="1:11" x14ac:dyDescent="0.3">
      <c r="A524" s="18" t="s">
        <v>531</v>
      </c>
      <c r="B524" s="18" t="s">
        <v>809</v>
      </c>
      <c r="C524" s="19">
        <v>45452</v>
      </c>
      <c r="D524" s="19">
        <v>45482</v>
      </c>
      <c r="E524" s="17">
        <v>2772.97</v>
      </c>
      <c r="F524" s="20" t="s">
        <v>816</v>
      </c>
      <c r="G524" s="20" t="s">
        <v>821</v>
      </c>
      <c r="H524" s="22">
        <v>45482</v>
      </c>
      <c r="I524" s="20" t="s">
        <v>822</v>
      </c>
      <c r="J524" s="21">
        <f t="shared" ca="1" si="16"/>
        <v>713</v>
      </c>
      <c r="K524" s="20" t="str">
        <f t="shared" ca="1" si="17"/>
        <v>OK</v>
      </c>
    </row>
    <row r="525" spans="1:11" x14ac:dyDescent="0.3">
      <c r="A525" s="18" t="s">
        <v>532</v>
      </c>
      <c r="B525" s="18" t="s">
        <v>812</v>
      </c>
      <c r="C525" s="19">
        <v>45596</v>
      </c>
      <c r="D525" s="19">
        <v>45626</v>
      </c>
      <c r="E525" s="17">
        <v>1641.38</v>
      </c>
      <c r="F525" s="20" t="s">
        <v>818</v>
      </c>
      <c r="G525" s="20" t="s">
        <v>820</v>
      </c>
      <c r="H525" s="20" t="s">
        <v>823</v>
      </c>
      <c r="I525" s="20" t="s">
        <v>822</v>
      </c>
      <c r="J525" s="21">
        <f t="shared" ca="1" si="16"/>
        <v>569</v>
      </c>
      <c r="K525" s="20" t="str">
        <f t="shared" ca="1" si="17"/>
        <v>Overdue</v>
      </c>
    </row>
    <row r="526" spans="1:11" x14ac:dyDescent="0.3">
      <c r="A526" s="18" t="s">
        <v>533</v>
      </c>
      <c r="B526" s="18" t="s">
        <v>811</v>
      </c>
      <c r="C526" s="19">
        <v>45539</v>
      </c>
      <c r="D526" s="19">
        <v>45569</v>
      </c>
      <c r="E526" s="17">
        <v>549.14</v>
      </c>
      <c r="F526" s="20" t="s">
        <v>818</v>
      </c>
      <c r="G526" s="20" t="s">
        <v>821</v>
      </c>
      <c r="H526" s="22">
        <v>45569</v>
      </c>
      <c r="I526" s="20" t="s">
        <v>822</v>
      </c>
      <c r="J526" s="21">
        <f t="shared" ca="1" si="16"/>
        <v>626</v>
      </c>
      <c r="K526" s="20" t="str">
        <f t="shared" ca="1" si="17"/>
        <v>OK</v>
      </c>
    </row>
    <row r="527" spans="1:11" x14ac:dyDescent="0.3">
      <c r="A527" s="18" t="s">
        <v>534</v>
      </c>
      <c r="B527" s="18" t="s">
        <v>813</v>
      </c>
      <c r="C527" s="19">
        <v>45558</v>
      </c>
      <c r="D527" s="19">
        <v>45588</v>
      </c>
      <c r="E527" s="17">
        <v>3700.73</v>
      </c>
      <c r="F527" s="20" t="s">
        <v>816</v>
      </c>
      <c r="G527" s="20" t="s">
        <v>819</v>
      </c>
      <c r="H527" s="20" t="s">
        <v>823</v>
      </c>
      <c r="I527" s="20" t="s">
        <v>822</v>
      </c>
      <c r="J527" s="21">
        <f t="shared" ca="1" si="16"/>
        <v>607</v>
      </c>
      <c r="K527" s="20" t="str">
        <f t="shared" ca="1" si="17"/>
        <v>Overdue</v>
      </c>
    </row>
    <row r="528" spans="1:11" x14ac:dyDescent="0.3">
      <c r="A528" s="18" t="s">
        <v>535</v>
      </c>
      <c r="B528" s="18" t="s">
        <v>813</v>
      </c>
      <c r="C528" s="19">
        <v>45315</v>
      </c>
      <c r="D528" s="19">
        <v>45345</v>
      </c>
      <c r="E528" s="17">
        <v>1616.2</v>
      </c>
      <c r="F528" s="20" t="s">
        <v>815</v>
      </c>
      <c r="G528" s="20" t="s">
        <v>820</v>
      </c>
      <c r="H528" s="20" t="s">
        <v>823</v>
      </c>
      <c r="I528" s="20" t="s">
        <v>822</v>
      </c>
      <c r="J528" s="21">
        <f t="shared" ca="1" si="16"/>
        <v>850</v>
      </c>
      <c r="K528" s="20" t="str">
        <f t="shared" ca="1" si="17"/>
        <v>Overdue</v>
      </c>
    </row>
    <row r="529" spans="1:11" x14ac:dyDescent="0.3">
      <c r="A529" s="18" t="s">
        <v>536</v>
      </c>
      <c r="B529" s="18" t="s">
        <v>809</v>
      </c>
      <c r="C529" s="19">
        <v>45718</v>
      </c>
      <c r="D529" s="19">
        <v>45748</v>
      </c>
      <c r="E529" s="17">
        <v>233.75</v>
      </c>
      <c r="F529" s="20" t="s">
        <v>814</v>
      </c>
      <c r="G529" s="20" t="s">
        <v>820</v>
      </c>
      <c r="H529" s="20" t="s">
        <v>823</v>
      </c>
      <c r="I529" s="20" t="s">
        <v>822</v>
      </c>
      <c r="J529" s="21">
        <f t="shared" ca="1" si="16"/>
        <v>447</v>
      </c>
      <c r="K529" s="20" t="str">
        <f t="shared" ca="1" si="17"/>
        <v>Overdue</v>
      </c>
    </row>
    <row r="530" spans="1:11" x14ac:dyDescent="0.3">
      <c r="A530" s="18" t="s">
        <v>537</v>
      </c>
      <c r="B530" s="18" t="s">
        <v>809</v>
      </c>
      <c r="C530" s="19">
        <v>45581</v>
      </c>
      <c r="D530" s="19">
        <v>45611</v>
      </c>
      <c r="E530" s="17">
        <v>1198.76</v>
      </c>
      <c r="F530" s="20" t="s">
        <v>818</v>
      </c>
      <c r="G530" s="20" t="s">
        <v>820</v>
      </c>
      <c r="H530" s="20" t="s">
        <v>823</v>
      </c>
      <c r="I530" s="20" t="s">
        <v>822</v>
      </c>
      <c r="J530" s="21">
        <f t="shared" ca="1" si="16"/>
        <v>584</v>
      </c>
      <c r="K530" s="20" t="str">
        <f t="shared" ca="1" si="17"/>
        <v>Overdue</v>
      </c>
    </row>
    <row r="531" spans="1:11" x14ac:dyDescent="0.3">
      <c r="A531" s="18" t="s">
        <v>538</v>
      </c>
      <c r="B531" s="18" t="s">
        <v>813</v>
      </c>
      <c r="C531" s="19">
        <v>45826</v>
      </c>
      <c r="D531" s="19">
        <v>45856</v>
      </c>
      <c r="E531" s="17">
        <v>1819.59</v>
      </c>
      <c r="F531" s="20" t="s">
        <v>816</v>
      </c>
      <c r="G531" s="20" t="s">
        <v>820</v>
      </c>
      <c r="H531" s="20" t="s">
        <v>823</v>
      </c>
      <c r="I531" s="20" t="s">
        <v>822</v>
      </c>
      <c r="J531" s="21">
        <f t="shared" ca="1" si="16"/>
        <v>339</v>
      </c>
      <c r="K531" s="20" t="str">
        <f t="shared" ca="1" si="17"/>
        <v>Overdue</v>
      </c>
    </row>
    <row r="532" spans="1:11" x14ac:dyDescent="0.3">
      <c r="A532" s="18" t="s">
        <v>539</v>
      </c>
      <c r="B532" s="18" t="s">
        <v>813</v>
      </c>
      <c r="C532" s="19">
        <v>45690</v>
      </c>
      <c r="D532" s="19">
        <v>45720</v>
      </c>
      <c r="E532" s="17">
        <v>3747.3</v>
      </c>
      <c r="F532" s="20" t="s">
        <v>815</v>
      </c>
      <c r="G532" s="20" t="s">
        <v>821</v>
      </c>
      <c r="H532" s="22">
        <v>45720</v>
      </c>
      <c r="I532" s="20" t="s">
        <v>822</v>
      </c>
      <c r="J532" s="21">
        <f t="shared" ca="1" si="16"/>
        <v>475</v>
      </c>
      <c r="K532" s="20" t="str">
        <f t="shared" ca="1" si="17"/>
        <v>OK</v>
      </c>
    </row>
    <row r="533" spans="1:11" x14ac:dyDescent="0.3">
      <c r="A533" s="18" t="s">
        <v>540</v>
      </c>
      <c r="B533" s="18" t="s">
        <v>810</v>
      </c>
      <c r="C533" s="19">
        <v>45154</v>
      </c>
      <c r="D533" s="19">
        <v>45184</v>
      </c>
      <c r="E533" s="17">
        <v>4706.8100000000004</v>
      </c>
      <c r="F533" s="20" t="s">
        <v>814</v>
      </c>
      <c r="G533" s="20" t="s">
        <v>821</v>
      </c>
      <c r="H533" s="22">
        <v>45184</v>
      </c>
      <c r="I533" s="20" t="s">
        <v>822</v>
      </c>
      <c r="J533" s="21">
        <f t="shared" ca="1" si="16"/>
        <v>1011</v>
      </c>
      <c r="K533" s="20" t="str">
        <f t="shared" ca="1" si="17"/>
        <v>OK</v>
      </c>
    </row>
    <row r="534" spans="1:11" x14ac:dyDescent="0.3">
      <c r="A534" s="18" t="s">
        <v>541</v>
      </c>
      <c r="B534" s="18" t="s">
        <v>812</v>
      </c>
      <c r="C534" s="19">
        <v>45782</v>
      </c>
      <c r="D534" s="19">
        <v>45812</v>
      </c>
      <c r="E534" s="17">
        <v>2329.4299999999998</v>
      </c>
      <c r="F534" s="20" t="s">
        <v>815</v>
      </c>
      <c r="G534" s="20" t="s">
        <v>820</v>
      </c>
      <c r="H534" s="20" t="s">
        <v>823</v>
      </c>
      <c r="I534" s="20" t="s">
        <v>822</v>
      </c>
      <c r="J534" s="21">
        <f t="shared" ca="1" si="16"/>
        <v>383</v>
      </c>
      <c r="K534" s="20" t="str">
        <f t="shared" ca="1" si="17"/>
        <v>Overdue</v>
      </c>
    </row>
    <row r="535" spans="1:11" x14ac:dyDescent="0.3">
      <c r="A535" s="18" t="s">
        <v>542</v>
      </c>
      <c r="B535" s="18" t="s">
        <v>811</v>
      </c>
      <c r="C535" s="19">
        <v>45516</v>
      </c>
      <c r="D535" s="19">
        <v>45546</v>
      </c>
      <c r="E535" s="17">
        <v>3499.14</v>
      </c>
      <c r="F535" s="20" t="s">
        <v>816</v>
      </c>
      <c r="G535" s="20" t="s">
        <v>820</v>
      </c>
      <c r="H535" s="20" t="s">
        <v>823</v>
      </c>
      <c r="I535" s="20" t="s">
        <v>822</v>
      </c>
      <c r="J535" s="21">
        <f t="shared" ca="1" si="16"/>
        <v>649</v>
      </c>
      <c r="K535" s="20" t="str">
        <f t="shared" ca="1" si="17"/>
        <v>Overdue</v>
      </c>
    </row>
    <row r="536" spans="1:11" x14ac:dyDescent="0.3">
      <c r="A536" s="18" t="s">
        <v>543</v>
      </c>
      <c r="B536" s="18" t="s">
        <v>812</v>
      </c>
      <c r="C536" s="19">
        <v>45146</v>
      </c>
      <c r="D536" s="19">
        <v>45176</v>
      </c>
      <c r="E536" s="17">
        <v>3732.67</v>
      </c>
      <c r="F536" s="20" t="s">
        <v>816</v>
      </c>
      <c r="G536" s="20" t="s">
        <v>821</v>
      </c>
      <c r="H536" s="22">
        <v>45176</v>
      </c>
      <c r="I536" s="20" t="s">
        <v>822</v>
      </c>
      <c r="J536" s="21">
        <f t="shared" ca="1" si="16"/>
        <v>1019</v>
      </c>
      <c r="K536" s="20" t="str">
        <f t="shared" ca="1" si="17"/>
        <v>OK</v>
      </c>
    </row>
    <row r="537" spans="1:11" x14ac:dyDescent="0.3">
      <c r="A537" s="18" t="s">
        <v>544</v>
      </c>
      <c r="B537" s="18" t="s">
        <v>812</v>
      </c>
      <c r="C537" s="19">
        <v>45542</v>
      </c>
      <c r="D537" s="19">
        <v>45572</v>
      </c>
      <c r="E537" s="17">
        <v>365.59</v>
      </c>
      <c r="F537" s="20" t="s">
        <v>815</v>
      </c>
      <c r="G537" s="20" t="s">
        <v>819</v>
      </c>
      <c r="H537" s="20" t="s">
        <v>823</v>
      </c>
      <c r="I537" s="20" t="s">
        <v>822</v>
      </c>
      <c r="J537" s="21">
        <f t="shared" ca="1" si="16"/>
        <v>623</v>
      </c>
      <c r="K537" s="20" t="str">
        <f t="shared" ca="1" si="17"/>
        <v>Overdue</v>
      </c>
    </row>
    <row r="538" spans="1:11" x14ac:dyDescent="0.3">
      <c r="A538" s="18" t="s">
        <v>545</v>
      </c>
      <c r="B538" s="18" t="s">
        <v>813</v>
      </c>
      <c r="C538" s="19">
        <v>45383</v>
      </c>
      <c r="D538" s="19">
        <v>45413</v>
      </c>
      <c r="E538" s="17">
        <v>3778.67</v>
      </c>
      <c r="F538" s="20" t="s">
        <v>814</v>
      </c>
      <c r="G538" s="20" t="s">
        <v>819</v>
      </c>
      <c r="H538" s="20" t="s">
        <v>823</v>
      </c>
      <c r="I538" s="20" t="s">
        <v>822</v>
      </c>
      <c r="J538" s="21">
        <f t="shared" ca="1" si="16"/>
        <v>782</v>
      </c>
      <c r="K538" s="20" t="str">
        <f t="shared" ca="1" si="17"/>
        <v>Overdue</v>
      </c>
    </row>
    <row r="539" spans="1:11" x14ac:dyDescent="0.3">
      <c r="A539" s="18" t="s">
        <v>546</v>
      </c>
      <c r="B539" s="18" t="s">
        <v>811</v>
      </c>
      <c r="C539" s="19">
        <v>45397</v>
      </c>
      <c r="D539" s="19">
        <v>45427</v>
      </c>
      <c r="E539" s="17">
        <v>4324.6400000000003</v>
      </c>
      <c r="F539" s="20" t="s">
        <v>814</v>
      </c>
      <c r="G539" s="20" t="s">
        <v>820</v>
      </c>
      <c r="H539" s="20" t="s">
        <v>823</v>
      </c>
      <c r="I539" s="20" t="s">
        <v>822</v>
      </c>
      <c r="J539" s="21">
        <f t="shared" ca="1" si="16"/>
        <v>768</v>
      </c>
      <c r="K539" s="20" t="str">
        <f t="shared" ca="1" si="17"/>
        <v>Overdue</v>
      </c>
    </row>
    <row r="540" spans="1:11" x14ac:dyDescent="0.3">
      <c r="A540" s="18" t="s">
        <v>547</v>
      </c>
      <c r="B540" s="18" t="s">
        <v>813</v>
      </c>
      <c r="C540" s="19">
        <v>45500</v>
      </c>
      <c r="D540" s="19">
        <v>45530</v>
      </c>
      <c r="E540" s="17">
        <v>3648.16</v>
      </c>
      <c r="F540" s="20" t="s">
        <v>815</v>
      </c>
      <c r="G540" s="20" t="s">
        <v>821</v>
      </c>
      <c r="H540" s="22">
        <v>45530</v>
      </c>
      <c r="I540" s="20" t="s">
        <v>822</v>
      </c>
      <c r="J540" s="21">
        <f t="shared" ca="1" si="16"/>
        <v>665</v>
      </c>
      <c r="K540" s="20" t="str">
        <f t="shared" ca="1" si="17"/>
        <v>OK</v>
      </c>
    </row>
    <row r="541" spans="1:11" x14ac:dyDescent="0.3">
      <c r="A541" s="18" t="s">
        <v>548</v>
      </c>
      <c r="B541" s="18" t="s">
        <v>810</v>
      </c>
      <c r="C541" s="19">
        <v>45727</v>
      </c>
      <c r="D541" s="19">
        <v>45757</v>
      </c>
      <c r="E541" s="17">
        <v>106.75</v>
      </c>
      <c r="F541" s="20" t="s">
        <v>818</v>
      </c>
      <c r="G541" s="20" t="s">
        <v>821</v>
      </c>
      <c r="H541" s="22">
        <v>45757</v>
      </c>
      <c r="I541" s="20" t="s">
        <v>822</v>
      </c>
      <c r="J541" s="21">
        <f t="shared" ca="1" si="16"/>
        <v>438</v>
      </c>
      <c r="K541" s="20" t="str">
        <f t="shared" ca="1" si="17"/>
        <v>OK</v>
      </c>
    </row>
    <row r="542" spans="1:11" x14ac:dyDescent="0.3">
      <c r="A542" s="18" t="s">
        <v>549</v>
      </c>
      <c r="B542" s="18" t="s">
        <v>810</v>
      </c>
      <c r="C542" s="19">
        <v>44947</v>
      </c>
      <c r="D542" s="19">
        <v>44977</v>
      </c>
      <c r="E542" s="17">
        <v>2259.02</v>
      </c>
      <c r="F542" s="20" t="s">
        <v>815</v>
      </c>
      <c r="G542" s="20" t="s">
        <v>820</v>
      </c>
      <c r="H542" s="20" t="s">
        <v>823</v>
      </c>
      <c r="I542" s="20" t="s">
        <v>822</v>
      </c>
      <c r="J542" s="21">
        <f t="shared" ca="1" si="16"/>
        <v>1218</v>
      </c>
      <c r="K542" s="20" t="str">
        <f t="shared" ca="1" si="17"/>
        <v>Overdue</v>
      </c>
    </row>
    <row r="543" spans="1:11" x14ac:dyDescent="0.3">
      <c r="A543" s="18" t="s">
        <v>550</v>
      </c>
      <c r="B543" s="18" t="s">
        <v>812</v>
      </c>
      <c r="C543" s="19">
        <v>44941</v>
      </c>
      <c r="D543" s="19">
        <v>44971</v>
      </c>
      <c r="E543" s="17">
        <v>2046.68</v>
      </c>
      <c r="F543" s="20" t="s">
        <v>815</v>
      </c>
      <c r="G543" s="20" t="s">
        <v>819</v>
      </c>
      <c r="H543" s="20" t="s">
        <v>823</v>
      </c>
      <c r="I543" s="20" t="s">
        <v>822</v>
      </c>
      <c r="J543" s="21">
        <f t="shared" ca="1" si="16"/>
        <v>1224</v>
      </c>
      <c r="K543" s="20" t="str">
        <f t="shared" ca="1" si="17"/>
        <v>Overdue</v>
      </c>
    </row>
    <row r="544" spans="1:11" x14ac:dyDescent="0.3">
      <c r="A544" s="18" t="s">
        <v>551</v>
      </c>
      <c r="B544" s="18" t="s">
        <v>812</v>
      </c>
      <c r="C544" s="19">
        <v>45782</v>
      </c>
      <c r="D544" s="19">
        <v>45812</v>
      </c>
      <c r="E544" s="17">
        <v>3776.36</v>
      </c>
      <c r="F544" s="20" t="s">
        <v>816</v>
      </c>
      <c r="G544" s="20" t="s">
        <v>821</v>
      </c>
      <c r="H544" s="22">
        <v>45812</v>
      </c>
      <c r="I544" s="20" t="s">
        <v>822</v>
      </c>
      <c r="J544" s="21">
        <f t="shared" ca="1" si="16"/>
        <v>383</v>
      </c>
      <c r="K544" s="20" t="str">
        <f t="shared" ca="1" si="17"/>
        <v>OK</v>
      </c>
    </row>
    <row r="545" spans="1:11" x14ac:dyDescent="0.3">
      <c r="A545" s="18" t="s">
        <v>552</v>
      </c>
      <c r="B545" s="18" t="s">
        <v>810</v>
      </c>
      <c r="C545" s="19">
        <v>45815</v>
      </c>
      <c r="D545" s="19">
        <v>45845</v>
      </c>
      <c r="E545" s="17">
        <v>2839.95</v>
      </c>
      <c r="F545" s="20" t="s">
        <v>814</v>
      </c>
      <c r="G545" s="20" t="s">
        <v>821</v>
      </c>
      <c r="H545" s="22">
        <v>45845</v>
      </c>
      <c r="I545" s="20" t="s">
        <v>822</v>
      </c>
      <c r="J545" s="21">
        <f t="shared" ca="1" si="16"/>
        <v>350</v>
      </c>
      <c r="K545" s="20" t="str">
        <f t="shared" ca="1" si="17"/>
        <v>OK</v>
      </c>
    </row>
    <row r="546" spans="1:11" x14ac:dyDescent="0.3">
      <c r="A546" s="18" t="s">
        <v>553</v>
      </c>
      <c r="B546" s="18" t="s">
        <v>810</v>
      </c>
      <c r="C546" s="19">
        <v>45122</v>
      </c>
      <c r="D546" s="19">
        <v>45152</v>
      </c>
      <c r="E546" s="17">
        <v>2261.9499999999998</v>
      </c>
      <c r="F546" s="20" t="s">
        <v>816</v>
      </c>
      <c r="G546" s="20" t="s">
        <v>819</v>
      </c>
      <c r="H546" s="20" t="s">
        <v>823</v>
      </c>
      <c r="I546" s="20" t="s">
        <v>822</v>
      </c>
      <c r="J546" s="21">
        <f t="shared" ca="1" si="16"/>
        <v>1043</v>
      </c>
      <c r="K546" s="20" t="str">
        <f t="shared" ca="1" si="17"/>
        <v>Overdue</v>
      </c>
    </row>
    <row r="547" spans="1:11" x14ac:dyDescent="0.3">
      <c r="A547" s="18" t="s">
        <v>554</v>
      </c>
      <c r="B547" s="18" t="s">
        <v>810</v>
      </c>
      <c r="C547" s="19">
        <v>45686</v>
      </c>
      <c r="D547" s="19">
        <v>45716</v>
      </c>
      <c r="E547" s="17">
        <v>104.02</v>
      </c>
      <c r="F547" s="20" t="s">
        <v>814</v>
      </c>
      <c r="G547" s="20" t="s">
        <v>820</v>
      </c>
      <c r="H547" s="20" t="s">
        <v>823</v>
      </c>
      <c r="I547" s="20" t="s">
        <v>822</v>
      </c>
      <c r="J547" s="21">
        <f t="shared" ca="1" si="16"/>
        <v>479</v>
      </c>
      <c r="K547" s="20" t="str">
        <f t="shared" ca="1" si="17"/>
        <v>Overdue</v>
      </c>
    </row>
    <row r="548" spans="1:11" x14ac:dyDescent="0.3">
      <c r="A548" s="18" t="s">
        <v>555</v>
      </c>
      <c r="B548" s="18" t="s">
        <v>813</v>
      </c>
      <c r="C548" s="19">
        <v>45818</v>
      </c>
      <c r="D548" s="19">
        <v>45848</v>
      </c>
      <c r="E548" s="17">
        <v>3899.93</v>
      </c>
      <c r="F548" s="20" t="s">
        <v>816</v>
      </c>
      <c r="G548" s="20" t="s">
        <v>820</v>
      </c>
      <c r="H548" s="20" t="s">
        <v>823</v>
      </c>
      <c r="I548" s="20" t="s">
        <v>822</v>
      </c>
      <c r="J548" s="21">
        <f t="shared" ca="1" si="16"/>
        <v>347</v>
      </c>
      <c r="K548" s="20" t="str">
        <f t="shared" ca="1" si="17"/>
        <v>Overdue</v>
      </c>
    </row>
    <row r="549" spans="1:11" x14ac:dyDescent="0.3">
      <c r="A549" s="18" t="s">
        <v>556</v>
      </c>
      <c r="B549" s="18" t="s">
        <v>812</v>
      </c>
      <c r="C549" s="19">
        <v>45476</v>
      </c>
      <c r="D549" s="19">
        <v>45506</v>
      </c>
      <c r="E549" s="17">
        <v>276.7</v>
      </c>
      <c r="F549" s="20" t="s">
        <v>814</v>
      </c>
      <c r="G549" s="20" t="s">
        <v>819</v>
      </c>
      <c r="H549" s="20" t="s">
        <v>823</v>
      </c>
      <c r="I549" s="20" t="s">
        <v>822</v>
      </c>
      <c r="J549" s="21">
        <f t="shared" ca="1" si="16"/>
        <v>689</v>
      </c>
      <c r="K549" s="20" t="str">
        <f t="shared" ca="1" si="17"/>
        <v>Overdue</v>
      </c>
    </row>
    <row r="550" spans="1:11" x14ac:dyDescent="0.3">
      <c r="A550" s="18" t="s">
        <v>557</v>
      </c>
      <c r="B550" s="18" t="s">
        <v>809</v>
      </c>
      <c r="C550" s="19">
        <v>45096</v>
      </c>
      <c r="D550" s="19">
        <v>45126</v>
      </c>
      <c r="E550" s="17">
        <v>4610.3100000000004</v>
      </c>
      <c r="F550" s="20" t="s">
        <v>817</v>
      </c>
      <c r="G550" s="20" t="s">
        <v>820</v>
      </c>
      <c r="H550" s="20" t="s">
        <v>823</v>
      </c>
      <c r="I550" s="20" t="s">
        <v>822</v>
      </c>
      <c r="J550" s="21">
        <f t="shared" ca="1" si="16"/>
        <v>1069</v>
      </c>
      <c r="K550" s="20" t="str">
        <f t="shared" ca="1" si="17"/>
        <v>Overdue</v>
      </c>
    </row>
    <row r="551" spans="1:11" x14ac:dyDescent="0.3">
      <c r="A551" s="18" t="s">
        <v>558</v>
      </c>
      <c r="B551" s="18" t="s">
        <v>811</v>
      </c>
      <c r="C551" s="19">
        <v>45812</v>
      </c>
      <c r="D551" s="19">
        <v>45842</v>
      </c>
      <c r="E551" s="17">
        <v>1285.1300000000001</v>
      </c>
      <c r="F551" s="20" t="s">
        <v>816</v>
      </c>
      <c r="G551" s="20" t="s">
        <v>821</v>
      </c>
      <c r="H551" s="22">
        <v>45842</v>
      </c>
      <c r="I551" s="20" t="s">
        <v>822</v>
      </c>
      <c r="J551" s="21">
        <f t="shared" ca="1" si="16"/>
        <v>353</v>
      </c>
      <c r="K551" s="20" t="str">
        <f t="shared" ca="1" si="17"/>
        <v>OK</v>
      </c>
    </row>
    <row r="552" spans="1:11" x14ac:dyDescent="0.3">
      <c r="A552" s="18" t="s">
        <v>559</v>
      </c>
      <c r="B552" s="18" t="s">
        <v>813</v>
      </c>
      <c r="C552" s="19">
        <v>45069</v>
      </c>
      <c r="D552" s="19">
        <v>45099</v>
      </c>
      <c r="E552" s="17">
        <v>3752.28</v>
      </c>
      <c r="F552" s="20" t="s">
        <v>816</v>
      </c>
      <c r="G552" s="20" t="s">
        <v>820</v>
      </c>
      <c r="H552" s="20" t="s">
        <v>823</v>
      </c>
      <c r="I552" s="20" t="s">
        <v>822</v>
      </c>
      <c r="J552" s="21">
        <f t="shared" ca="1" si="16"/>
        <v>1096</v>
      </c>
      <c r="K552" s="20" t="str">
        <f t="shared" ca="1" si="17"/>
        <v>Overdue</v>
      </c>
    </row>
    <row r="553" spans="1:11" x14ac:dyDescent="0.3">
      <c r="A553" s="18" t="s">
        <v>560</v>
      </c>
      <c r="B553" s="18" t="s">
        <v>810</v>
      </c>
      <c r="C553" s="19">
        <v>45234</v>
      </c>
      <c r="D553" s="19">
        <v>45264</v>
      </c>
      <c r="E553" s="17">
        <v>3746.16</v>
      </c>
      <c r="F553" s="20" t="s">
        <v>816</v>
      </c>
      <c r="G553" s="20" t="s">
        <v>819</v>
      </c>
      <c r="H553" s="20" t="s">
        <v>823</v>
      </c>
      <c r="I553" s="20" t="s">
        <v>822</v>
      </c>
      <c r="J553" s="21">
        <f t="shared" ca="1" si="16"/>
        <v>931</v>
      </c>
      <c r="K553" s="20" t="str">
        <f t="shared" ca="1" si="17"/>
        <v>Overdue</v>
      </c>
    </row>
    <row r="554" spans="1:11" x14ac:dyDescent="0.3">
      <c r="A554" s="18" t="s">
        <v>561</v>
      </c>
      <c r="B554" s="18" t="s">
        <v>809</v>
      </c>
      <c r="C554" s="19">
        <v>45644</v>
      </c>
      <c r="D554" s="19">
        <v>45674</v>
      </c>
      <c r="E554" s="17">
        <v>4464.8999999999996</v>
      </c>
      <c r="F554" s="20" t="s">
        <v>817</v>
      </c>
      <c r="G554" s="20" t="s">
        <v>821</v>
      </c>
      <c r="H554" s="22">
        <v>45674</v>
      </c>
      <c r="I554" s="20" t="s">
        <v>822</v>
      </c>
      <c r="J554" s="21">
        <f t="shared" ca="1" si="16"/>
        <v>521</v>
      </c>
      <c r="K554" s="20" t="str">
        <f t="shared" ca="1" si="17"/>
        <v>OK</v>
      </c>
    </row>
    <row r="555" spans="1:11" x14ac:dyDescent="0.3">
      <c r="A555" s="18" t="s">
        <v>562</v>
      </c>
      <c r="B555" s="18" t="s">
        <v>813</v>
      </c>
      <c r="C555" s="19">
        <v>45471</v>
      </c>
      <c r="D555" s="19">
        <v>45501</v>
      </c>
      <c r="E555" s="17">
        <v>4957.1499999999996</v>
      </c>
      <c r="F555" s="20" t="s">
        <v>817</v>
      </c>
      <c r="G555" s="20" t="s">
        <v>819</v>
      </c>
      <c r="H555" s="20" t="s">
        <v>823</v>
      </c>
      <c r="I555" s="20" t="s">
        <v>822</v>
      </c>
      <c r="J555" s="21">
        <f t="shared" ca="1" si="16"/>
        <v>694</v>
      </c>
      <c r="K555" s="20" t="str">
        <f t="shared" ca="1" si="17"/>
        <v>Overdue</v>
      </c>
    </row>
    <row r="556" spans="1:11" x14ac:dyDescent="0.3">
      <c r="A556" s="18" t="s">
        <v>563</v>
      </c>
      <c r="B556" s="18" t="s">
        <v>812</v>
      </c>
      <c r="C556" s="19">
        <v>45503</v>
      </c>
      <c r="D556" s="19">
        <v>45533</v>
      </c>
      <c r="E556" s="17">
        <v>129.91</v>
      </c>
      <c r="F556" s="20" t="s">
        <v>816</v>
      </c>
      <c r="G556" s="20" t="s">
        <v>819</v>
      </c>
      <c r="H556" s="20" t="s">
        <v>823</v>
      </c>
      <c r="I556" s="20" t="s">
        <v>822</v>
      </c>
      <c r="J556" s="21">
        <f t="shared" ca="1" si="16"/>
        <v>662</v>
      </c>
      <c r="K556" s="20" t="str">
        <f t="shared" ca="1" si="17"/>
        <v>Overdue</v>
      </c>
    </row>
    <row r="557" spans="1:11" x14ac:dyDescent="0.3">
      <c r="A557" s="18" t="s">
        <v>564</v>
      </c>
      <c r="B557" s="18" t="s">
        <v>810</v>
      </c>
      <c r="C557" s="19">
        <v>45080</v>
      </c>
      <c r="D557" s="19">
        <v>45110</v>
      </c>
      <c r="E557" s="17">
        <v>4151.46</v>
      </c>
      <c r="F557" s="20" t="s">
        <v>818</v>
      </c>
      <c r="G557" s="20" t="s">
        <v>821</v>
      </c>
      <c r="H557" s="22">
        <v>45110</v>
      </c>
      <c r="I557" s="20" t="s">
        <v>822</v>
      </c>
      <c r="J557" s="21">
        <f t="shared" ca="1" si="16"/>
        <v>1085</v>
      </c>
      <c r="K557" s="20" t="str">
        <f t="shared" ca="1" si="17"/>
        <v>OK</v>
      </c>
    </row>
    <row r="558" spans="1:11" x14ac:dyDescent="0.3">
      <c r="A558" s="18" t="s">
        <v>565</v>
      </c>
      <c r="B558" s="18" t="s">
        <v>813</v>
      </c>
      <c r="C558" s="19">
        <v>45345</v>
      </c>
      <c r="D558" s="19">
        <v>45375</v>
      </c>
      <c r="E558" s="17">
        <v>4386</v>
      </c>
      <c r="F558" s="20" t="s">
        <v>818</v>
      </c>
      <c r="G558" s="20" t="s">
        <v>819</v>
      </c>
      <c r="H558" s="20" t="s">
        <v>823</v>
      </c>
      <c r="I558" s="20" t="s">
        <v>822</v>
      </c>
      <c r="J558" s="21">
        <f t="shared" ca="1" si="16"/>
        <v>820</v>
      </c>
      <c r="K558" s="20" t="str">
        <f t="shared" ca="1" si="17"/>
        <v>Overdue</v>
      </c>
    </row>
    <row r="559" spans="1:11" x14ac:dyDescent="0.3">
      <c r="A559" s="18" t="s">
        <v>566</v>
      </c>
      <c r="B559" s="18" t="s">
        <v>812</v>
      </c>
      <c r="C559" s="19">
        <v>45452</v>
      </c>
      <c r="D559" s="19">
        <v>45482</v>
      </c>
      <c r="E559" s="17">
        <v>2792.29</v>
      </c>
      <c r="F559" s="20" t="s">
        <v>818</v>
      </c>
      <c r="G559" s="20" t="s">
        <v>821</v>
      </c>
      <c r="H559" s="22">
        <v>45482</v>
      </c>
      <c r="I559" s="20" t="s">
        <v>822</v>
      </c>
      <c r="J559" s="21">
        <f t="shared" ca="1" si="16"/>
        <v>713</v>
      </c>
      <c r="K559" s="20" t="str">
        <f t="shared" ca="1" si="17"/>
        <v>OK</v>
      </c>
    </row>
    <row r="560" spans="1:11" x14ac:dyDescent="0.3">
      <c r="A560" s="18" t="s">
        <v>567</v>
      </c>
      <c r="B560" s="18" t="s">
        <v>813</v>
      </c>
      <c r="C560" s="19">
        <v>45738</v>
      </c>
      <c r="D560" s="19">
        <v>45768</v>
      </c>
      <c r="E560" s="17">
        <v>2307.9</v>
      </c>
      <c r="F560" s="20" t="s">
        <v>816</v>
      </c>
      <c r="G560" s="20" t="s">
        <v>819</v>
      </c>
      <c r="H560" s="20" t="s">
        <v>823</v>
      </c>
      <c r="I560" s="20" t="s">
        <v>822</v>
      </c>
      <c r="J560" s="21">
        <f t="shared" ca="1" si="16"/>
        <v>427</v>
      </c>
      <c r="K560" s="20" t="str">
        <f t="shared" ca="1" si="17"/>
        <v>Overdue</v>
      </c>
    </row>
    <row r="561" spans="1:11" x14ac:dyDescent="0.3">
      <c r="A561" s="18" t="s">
        <v>568</v>
      </c>
      <c r="B561" s="18" t="s">
        <v>809</v>
      </c>
      <c r="C561" s="19">
        <v>45537</v>
      </c>
      <c r="D561" s="19">
        <v>45567</v>
      </c>
      <c r="E561" s="17">
        <v>1432.07</v>
      </c>
      <c r="F561" s="20" t="s">
        <v>818</v>
      </c>
      <c r="G561" s="20" t="s">
        <v>821</v>
      </c>
      <c r="H561" s="22">
        <v>45567</v>
      </c>
      <c r="I561" s="20" t="s">
        <v>822</v>
      </c>
      <c r="J561" s="21">
        <f t="shared" ca="1" si="16"/>
        <v>628</v>
      </c>
      <c r="K561" s="20" t="str">
        <f t="shared" ca="1" si="17"/>
        <v>OK</v>
      </c>
    </row>
    <row r="562" spans="1:11" x14ac:dyDescent="0.3">
      <c r="A562" s="18" t="s">
        <v>569</v>
      </c>
      <c r="B562" s="18" t="s">
        <v>812</v>
      </c>
      <c r="C562" s="19">
        <v>45472</v>
      </c>
      <c r="D562" s="19">
        <v>45502</v>
      </c>
      <c r="E562" s="17">
        <v>2127.41</v>
      </c>
      <c r="F562" s="20" t="s">
        <v>817</v>
      </c>
      <c r="G562" s="20" t="s">
        <v>819</v>
      </c>
      <c r="H562" s="20" t="s">
        <v>823</v>
      </c>
      <c r="I562" s="20" t="s">
        <v>822</v>
      </c>
      <c r="J562" s="21">
        <f t="shared" ca="1" si="16"/>
        <v>693</v>
      </c>
      <c r="K562" s="20" t="str">
        <f t="shared" ca="1" si="17"/>
        <v>Overdue</v>
      </c>
    </row>
    <row r="563" spans="1:11" x14ac:dyDescent="0.3">
      <c r="A563" s="18" t="s">
        <v>570</v>
      </c>
      <c r="B563" s="18" t="s">
        <v>811</v>
      </c>
      <c r="C563" s="19">
        <v>45623</v>
      </c>
      <c r="D563" s="19">
        <v>45653</v>
      </c>
      <c r="E563" s="17">
        <v>254.96</v>
      </c>
      <c r="F563" s="20" t="s">
        <v>816</v>
      </c>
      <c r="G563" s="20" t="s">
        <v>821</v>
      </c>
      <c r="H563" s="22">
        <v>45653</v>
      </c>
      <c r="I563" s="20" t="s">
        <v>822</v>
      </c>
      <c r="J563" s="21">
        <f t="shared" ca="1" si="16"/>
        <v>542</v>
      </c>
      <c r="K563" s="20" t="str">
        <f t="shared" ca="1" si="17"/>
        <v>OK</v>
      </c>
    </row>
    <row r="564" spans="1:11" x14ac:dyDescent="0.3">
      <c r="A564" s="18" t="s">
        <v>571</v>
      </c>
      <c r="B564" s="18" t="s">
        <v>812</v>
      </c>
      <c r="C564" s="19">
        <v>45160</v>
      </c>
      <c r="D564" s="19">
        <v>45190</v>
      </c>
      <c r="E564" s="17">
        <v>2704.91</v>
      </c>
      <c r="F564" s="20" t="s">
        <v>818</v>
      </c>
      <c r="G564" s="20" t="s">
        <v>819</v>
      </c>
      <c r="H564" s="20" t="s">
        <v>823</v>
      </c>
      <c r="I564" s="20" t="s">
        <v>822</v>
      </c>
      <c r="J564" s="21">
        <f t="shared" ca="1" si="16"/>
        <v>1005</v>
      </c>
      <c r="K564" s="20" t="str">
        <f t="shared" ca="1" si="17"/>
        <v>Overdue</v>
      </c>
    </row>
    <row r="565" spans="1:11" x14ac:dyDescent="0.3">
      <c r="A565" s="18" t="s">
        <v>572</v>
      </c>
      <c r="B565" s="18" t="s">
        <v>811</v>
      </c>
      <c r="C565" s="19">
        <v>45438</v>
      </c>
      <c r="D565" s="19">
        <v>45468</v>
      </c>
      <c r="E565" s="17">
        <v>1222.6300000000001</v>
      </c>
      <c r="F565" s="20" t="s">
        <v>815</v>
      </c>
      <c r="G565" s="20" t="s">
        <v>821</v>
      </c>
      <c r="H565" s="22">
        <v>45468</v>
      </c>
      <c r="I565" s="20" t="s">
        <v>822</v>
      </c>
      <c r="J565" s="21">
        <f t="shared" ca="1" si="16"/>
        <v>727</v>
      </c>
      <c r="K565" s="20" t="str">
        <f t="shared" ca="1" si="17"/>
        <v>OK</v>
      </c>
    </row>
    <row r="566" spans="1:11" x14ac:dyDescent="0.3">
      <c r="A566" s="18" t="s">
        <v>573</v>
      </c>
      <c r="B566" s="18" t="s">
        <v>810</v>
      </c>
      <c r="C566" s="19">
        <v>44951</v>
      </c>
      <c r="D566" s="19">
        <v>44981</v>
      </c>
      <c r="E566" s="17">
        <v>2660.77</v>
      </c>
      <c r="F566" s="20" t="s">
        <v>817</v>
      </c>
      <c r="G566" s="20" t="s">
        <v>820</v>
      </c>
      <c r="H566" s="20" t="s">
        <v>823</v>
      </c>
      <c r="I566" s="20" t="s">
        <v>822</v>
      </c>
      <c r="J566" s="21">
        <f t="shared" ca="1" si="16"/>
        <v>1214</v>
      </c>
      <c r="K566" s="20" t="str">
        <f t="shared" ca="1" si="17"/>
        <v>Overdue</v>
      </c>
    </row>
    <row r="567" spans="1:11" x14ac:dyDescent="0.3">
      <c r="A567" s="18" t="s">
        <v>574</v>
      </c>
      <c r="B567" s="18" t="s">
        <v>812</v>
      </c>
      <c r="C567" s="19">
        <v>45120</v>
      </c>
      <c r="D567" s="19">
        <v>45150</v>
      </c>
      <c r="E567" s="17">
        <v>1359</v>
      </c>
      <c r="F567" s="20" t="s">
        <v>814</v>
      </c>
      <c r="G567" s="20" t="s">
        <v>819</v>
      </c>
      <c r="H567" s="20" t="s">
        <v>823</v>
      </c>
      <c r="I567" s="20" t="s">
        <v>822</v>
      </c>
      <c r="J567" s="21">
        <f t="shared" ca="1" si="16"/>
        <v>1045</v>
      </c>
      <c r="K567" s="20" t="str">
        <f t="shared" ca="1" si="17"/>
        <v>Overdue</v>
      </c>
    </row>
    <row r="568" spans="1:11" x14ac:dyDescent="0.3">
      <c r="A568" s="18" t="s">
        <v>575</v>
      </c>
      <c r="B568" s="18" t="s">
        <v>812</v>
      </c>
      <c r="C568" s="19">
        <v>45182</v>
      </c>
      <c r="D568" s="19">
        <v>45212</v>
      </c>
      <c r="E568" s="17">
        <v>1597.59</v>
      </c>
      <c r="F568" s="20" t="s">
        <v>814</v>
      </c>
      <c r="G568" s="20" t="s">
        <v>821</v>
      </c>
      <c r="H568" s="22">
        <v>45212</v>
      </c>
      <c r="I568" s="20" t="s">
        <v>822</v>
      </c>
      <c r="J568" s="21">
        <f t="shared" ca="1" si="16"/>
        <v>983</v>
      </c>
      <c r="K568" s="20" t="str">
        <f t="shared" ca="1" si="17"/>
        <v>OK</v>
      </c>
    </row>
    <row r="569" spans="1:11" x14ac:dyDescent="0.3">
      <c r="A569" s="18" t="s">
        <v>576</v>
      </c>
      <c r="B569" s="18" t="s">
        <v>809</v>
      </c>
      <c r="C569" s="19">
        <v>44997</v>
      </c>
      <c r="D569" s="19">
        <v>45027</v>
      </c>
      <c r="E569" s="17">
        <v>4456.2</v>
      </c>
      <c r="F569" s="20" t="s">
        <v>815</v>
      </c>
      <c r="G569" s="20" t="s">
        <v>820</v>
      </c>
      <c r="H569" s="20" t="s">
        <v>823</v>
      </c>
      <c r="I569" s="20" t="s">
        <v>822</v>
      </c>
      <c r="J569" s="21">
        <f t="shared" ca="1" si="16"/>
        <v>1168</v>
      </c>
      <c r="K569" s="20" t="str">
        <f t="shared" ca="1" si="17"/>
        <v>Overdue</v>
      </c>
    </row>
    <row r="570" spans="1:11" x14ac:dyDescent="0.3">
      <c r="A570" s="18" t="s">
        <v>577</v>
      </c>
      <c r="B570" s="18" t="s">
        <v>813</v>
      </c>
      <c r="C570" s="19">
        <v>45587</v>
      </c>
      <c r="D570" s="19">
        <v>45617</v>
      </c>
      <c r="E570" s="17">
        <v>583.61</v>
      </c>
      <c r="F570" s="20" t="s">
        <v>816</v>
      </c>
      <c r="G570" s="20" t="s">
        <v>820</v>
      </c>
      <c r="H570" s="20" t="s">
        <v>823</v>
      </c>
      <c r="I570" s="20" t="s">
        <v>822</v>
      </c>
      <c r="J570" s="21">
        <f t="shared" ca="1" si="16"/>
        <v>578</v>
      </c>
      <c r="K570" s="20" t="str">
        <f t="shared" ca="1" si="17"/>
        <v>Overdue</v>
      </c>
    </row>
    <row r="571" spans="1:11" x14ac:dyDescent="0.3">
      <c r="A571" s="18" t="s">
        <v>578</v>
      </c>
      <c r="B571" s="18" t="s">
        <v>813</v>
      </c>
      <c r="C571" s="19">
        <v>45511</v>
      </c>
      <c r="D571" s="19">
        <v>45541</v>
      </c>
      <c r="E571" s="17">
        <v>3912.65</v>
      </c>
      <c r="F571" s="20" t="s">
        <v>817</v>
      </c>
      <c r="G571" s="20" t="s">
        <v>820</v>
      </c>
      <c r="H571" s="20" t="s">
        <v>823</v>
      </c>
      <c r="I571" s="20" t="s">
        <v>822</v>
      </c>
      <c r="J571" s="21">
        <f t="shared" ca="1" si="16"/>
        <v>654</v>
      </c>
      <c r="K571" s="20" t="str">
        <f t="shared" ca="1" si="17"/>
        <v>Overdue</v>
      </c>
    </row>
    <row r="572" spans="1:11" x14ac:dyDescent="0.3">
      <c r="A572" s="18" t="s">
        <v>579</v>
      </c>
      <c r="B572" s="18" t="s">
        <v>812</v>
      </c>
      <c r="C572" s="19">
        <v>45070</v>
      </c>
      <c r="D572" s="19">
        <v>45100</v>
      </c>
      <c r="E572" s="17">
        <v>2835.21</v>
      </c>
      <c r="F572" s="20" t="s">
        <v>817</v>
      </c>
      <c r="G572" s="20" t="s">
        <v>821</v>
      </c>
      <c r="H572" s="22">
        <v>45100</v>
      </c>
      <c r="I572" s="20" t="s">
        <v>822</v>
      </c>
      <c r="J572" s="21">
        <f t="shared" ca="1" si="16"/>
        <v>1095</v>
      </c>
      <c r="K572" s="20" t="str">
        <f t="shared" ca="1" si="17"/>
        <v>OK</v>
      </c>
    </row>
    <row r="573" spans="1:11" x14ac:dyDescent="0.3">
      <c r="A573" s="18" t="s">
        <v>580</v>
      </c>
      <c r="B573" s="18" t="s">
        <v>812</v>
      </c>
      <c r="C573" s="19">
        <v>45461</v>
      </c>
      <c r="D573" s="19">
        <v>45491</v>
      </c>
      <c r="E573" s="17">
        <v>865.54</v>
      </c>
      <c r="F573" s="20" t="s">
        <v>814</v>
      </c>
      <c r="G573" s="20" t="s">
        <v>820</v>
      </c>
      <c r="H573" s="20" t="s">
        <v>823</v>
      </c>
      <c r="I573" s="20" t="s">
        <v>822</v>
      </c>
      <c r="J573" s="21">
        <f t="shared" ca="1" si="16"/>
        <v>704</v>
      </c>
      <c r="K573" s="20" t="str">
        <f t="shared" ca="1" si="17"/>
        <v>Overdue</v>
      </c>
    </row>
    <row r="574" spans="1:11" x14ac:dyDescent="0.3">
      <c r="A574" s="18" t="s">
        <v>581</v>
      </c>
      <c r="B574" s="18" t="s">
        <v>812</v>
      </c>
      <c r="C574" s="19">
        <v>45455</v>
      </c>
      <c r="D574" s="19">
        <v>45485</v>
      </c>
      <c r="E574" s="17">
        <v>3671.15</v>
      </c>
      <c r="F574" s="20" t="s">
        <v>816</v>
      </c>
      <c r="G574" s="20" t="s">
        <v>820</v>
      </c>
      <c r="H574" s="20" t="s">
        <v>823</v>
      </c>
      <c r="I574" s="20" t="s">
        <v>822</v>
      </c>
      <c r="J574" s="21">
        <f t="shared" ca="1" si="16"/>
        <v>710</v>
      </c>
      <c r="K574" s="20" t="str">
        <f t="shared" ca="1" si="17"/>
        <v>Overdue</v>
      </c>
    </row>
    <row r="575" spans="1:11" x14ac:dyDescent="0.3">
      <c r="A575" s="18" t="s">
        <v>582</v>
      </c>
      <c r="B575" s="18" t="s">
        <v>811</v>
      </c>
      <c r="C575" s="19">
        <v>45775</v>
      </c>
      <c r="D575" s="19">
        <v>45805</v>
      </c>
      <c r="E575" s="17">
        <v>2131.81</v>
      </c>
      <c r="F575" s="20" t="s">
        <v>817</v>
      </c>
      <c r="G575" s="20" t="s">
        <v>821</v>
      </c>
      <c r="H575" s="22">
        <v>45805</v>
      </c>
      <c r="I575" s="20" t="s">
        <v>822</v>
      </c>
      <c r="J575" s="21">
        <f t="shared" ca="1" si="16"/>
        <v>390</v>
      </c>
      <c r="K575" s="20" t="str">
        <f t="shared" ca="1" si="17"/>
        <v>OK</v>
      </c>
    </row>
    <row r="576" spans="1:11" x14ac:dyDescent="0.3">
      <c r="A576" s="18" t="s">
        <v>583</v>
      </c>
      <c r="B576" s="18" t="s">
        <v>810</v>
      </c>
      <c r="C576" s="19">
        <v>45616</v>
      </c>
      <c r="D576" s="19">
        <v>45646</v>
      </c>
      <c r="E576" s="17">
        <v>4512.54</v>
      </c>
      <c r="F576" s="20" t="s">
        <v>818</v>
      </c>
      <c r="G576" s="20" t="s">
        <v>820</v>
      </c>
      <c r="H576" s="20" t="s">
        <v>823</v>
      </c>
      <c r="I576" s="20" t="s">
        <v>822</v>
      </c>
      <c r="J576" s="21">
        <f t="shared" ca="1" si="16"/>
        <v>549</v>
      </c>
      <c r="K576" s="20" t="str">
        <f t="shared" ca="1" si="17"/>
        <v>Overdue</v>
      </c>
    </row>
    <row r="577" spans="1:11" x14ac:dyDescent="0.3">
      <c r="A577" s="18" t="s">
        <v>584</v>
      </c>
      <c r="B577" s="18" t="s">
        <v>809</v>
      </c>
      <c r="C577" s="19">
        <v>45491</v>
      </c>
      <c r="D577" s="19">
        <v>45521</v>
      </c>
      <c r="E577" s="17">
        <v>4516.3100000000004</v>
      </c>
      <c r="F577" s="20" t="s">
        <v>817</v>
      </c>
      <c r="G577" s="20" t="s">
        <v>819</v>
      </c>
      <c r="H577" s="20" t="s">
        <v>823</v>
      </c>
      <c r="I577" s="20" t="s">
        <v>822</v>
      </c>
      <c r="J577" s="21">
        <f t="shared" ca="1" si="16"/>
        <v>674</v>
      </c>
      <c r="K577" s="20" t="str">
        <f t="shared" ca="1" si="17"/>
        <v>Overdue</v>
      </c>
    </row>
    <row r="578" spans="1:11" x14ac:dyDescent="0.3">
      <c r="A578" s="18" t="s">
        <v>585</v>
      </c>
      <c r="B578" s="18" t="s">
        <v>810</v>
      </c>
      <c r="C578" s="19">
        <v>45554</v>
      </c>
      <c r="D578" s="19">
        <v>45584</v>
      </c>
      <c r="E578" s="17">
        <v>1978.27</v>
      </c>
      <c r="F578" s="20" t="s">
        <v>817</v>
      </c>
      <c r="G578" s="20" t="s">
        <v>821</v>
      </c>
      <c r="H578" s="22">
        <v>45584</v>
      </c>
      <c r="I578" s="20" t="s">
        <v>822</v>
      </c>
      <c r="J578" s="21">
        <f t="shared" ref="J578:J641" ca="1" si="18">TODAY()-D578</f>
        <v>611</v>
      </c>
      <c r="K578" s="20" t="str">
        <f t="shared" ref="K578:K641" ca="1" si="19">IF(AND(TODAY()&gt;D578,G578&lt;&gt;"Paid"),"Overdue","OK")</f>
        <v>OK</v>
      </c>
    </row>
    <row r="579" spans="1:11" x14ac:dyDescent="0.3">
      <c r="A579" s="18" t="s">
        <v>586</v>
      </c>
      <c r="B579" s="18" t="s">
        <v>811</v>
      </c>
      <c r="C579" s="19">
        <v>45417</v>
      </c>
      <c r="D579" s="19">
        <v>45447</v>
      </c>
      <c r="E579" s="17">
        <v>1703.15</v>
      </c>
      <c r="F579" s="20" t="s">
        <v>816</v>
      </c>
      <c r="G579" s="20" t="s">
        <v>821</v>
      </c>
      <c r="H579" s="22">
        <v>45447</v>
      </c>
      <c r="I579" s="20" t="s">
        <v>822</v>
      </c>
      <c r="J579" s="21">
        <f t="shared" ca="1" si="18"/>
        <v>748</v>
      </c>
      <c r="K579" s="20" t="str">
        <f t="shared" ca="1" si="19"/>
        <v>OK</v>
      </c>
    </row>
    <row r="580" spans="1:11" x14ac:dyDescent="0.3">
      <c r="A580" s="18" t="s">
        <v>587</v>
      </c>
      <c r="B580" s="18" t="s">
        <v>809</v>
      </c>
      <c r="C580" s="19">
        <v>45287</v>
      </c>
      <c r="D580" s="19">
        <v>45317</v>
      </c>
      <c r="E580" s="17">
        <v>765.18</v>
      </c>
      <c r="F580" s="20" t="s">
        <v>817</v>
      </c>
      <c r="G580" s="20" t="s">
        <v>819</v>
      </c>
      <c r="H580" s="20" t="s">
        <v>823</v>
      </c>
      <c r="I580" s="20" t="s">
        <v>822</v>
      </c>
      <c r="J580" s="21">
        <f t="shared" ca="1" si="18"/>
        <v>878</v>
      </c>
      <c r="K580" s="20" t="str">
        <f t="shared" ca="1" si="19"/>
        <v>Overdue</v>
      </c>
    </row>
    <row r="581" spans="1:11" x14ac:dyDescent="0.3">
      <c r="A581" s="18" t="s">
        <v>588</v>
      </c>
      <c r="B581" s="18" t="s">
        <v>810</v>
      </c>
      <c r="C581" s="19">
        <v>44992</v>
      </c>
      <c r="D581" s="19">
        <v>45022</v>
      </c>
      <c r="E581" s="17">
        <v>4823.6099999999997</v>
      </c>
      <c r="F581" s="20" t="s">
        <v>818</v>
      </c>
      <c r="G581" s="20" t="s">
        <v>819</v>
      </c>
      <c r="H581" s="20" t="s">
        <v>823</v>
      </c>
      <c r="I581" s="20" t="s">
        <v>822</v>
      </c>
      <c r="J581" s="21">
        <f t="shared" ca="1" si="18"/>
        <v>1173</v>
      </c>
      <c r="K581" s="20" t="str">
        <f t="shared" ca="1" si="19"/>
        <v>Overdue</v>
      </c>
    </row>
    <row r="582" spans="1:11" x14ac:dyDescent="0.3">
      <c r="A582" s="18" t="s">
        <v>589</v>
      </c>
      <c r="B582" s="18" t="s">
        <v>813</v>
      </c>
      <c r="C582" s="19">
        <v>45813</v>
      </c>
      <c r="D582" s="19">
        <v>45843</v>
      </c>
      <c r="E582" s="17">
        <v>929.8</v>
      </c>
      <c r="F582" s="20" t="s">
        <v>817</v>
      </c>
      <c r="G582" s="20" t="s">
        <v>821</v>
      </c>
      <c r="H582" s="22">
        <v>45843</v>
      </c>
      <c r="I582" s="20" t="s">
        <v>822</v>
      </c>
      <c r="J582" s="21">
        <f t="shared" ca="1" si="18"/>
        <v>352</v>
      </c>
      <c r="K582" s="20" t="str">
        <f t="shared" ca="1" si="19"/>
        <v>OK</v>
      </c>
    </row>
    <row r="583" spans="1:11" x14ac:dyDescent="0.3">
      <c r="A583" s="18" t="s">
        <v>590</v>
      </c>
      <c r="B583" s="18" t="s">
        <v>812</v>
      </c>
      <c r="C583" s="19">
        <v>45349</v>
      </c>
      <c r="D583" s="19">
        <v>45379</v>
      </c>
      <c r="E583" s="17">
        <v>4543.1099999999997</v>
      </c>
      <c r="F583" s="20" t="s">
        <v>817</v>
      </c>
      <c r="G583" s="20" t="s">
        <v>821</v>
      </c>
      <c r="H583" s="22">
        <v>45379</v>
      </c>
      <c r="I583" s="20" t="s">
        <v>822</v>
      </c>
      <c r="J583" s="21">
        <f t="shared" ca="1" si="18"/>
        <v>816</v>
      </c>
      <c r="K583" s="20" t="str">
        <f t="shared" ca="1" si="19"/>
        <v>OK</v>
      </c>
    </row>
    <row r="584" spans="1:11" x14ac:dyDescent="0.3">
      <c r="A584" s="18" t="s">
        <v>591</v>
      </c>
      <c r="B584" s="18" t="s">
        <v>809</v>
      </c>
      <c r="C584" s="19">
        <v>45354</v>
      </c>
      <c r="D584" s="19">
        <v>45384</v>
      </c>
      <c r="E584" s="17">
        <v>3165.91</v>
      </c>
      <c r="F584" s="20" t="s">
        <v>818</v>
      </c>
      <c r="G584" s="20" t="s">
        <v>820</v>
      </c>
      <c r="H584" s="20" t="s">
        <v>823</v>
      </c>
      <c r="I584" s="20" t="s">
        <v>822</v>
      </c>
      <c r="J584" s="21">
        <f t="shared" ca="1" si="18"/>
        <v>811</v>
      </c>
      <c r="K584" s="20" t="str">
        <f t="shared" ca="1" si="19"/>
        <v>Overdue</v>
      </c>
    </row>
    <row r="585" spans="1:11" x14ac:dyDescent="0.3">
      <c r="A585" s="18" t="s">
        <v>592</v>
      </c>
      <c r="B585" s="18" t="s">
        <v>813</v>
      </c>
      <c r="C585" s="19">
        <v>45749</v>
      </c>
      <c r="D585" s="19">
        <v>45779</v>
      </c>
      <c r="E585" s="17">
        <v>674.53</v>
      </c>
      <c r="F585" s="20" t="s">
        <v>817</v>
      </c>
      <c r="G585" s="20" t="s">
        <v>820</v>
      </c>
      <c r="H585" s="20" t="s">
        <v>823</v>
      </c>
      <c r="I585" s="20" t="s">
        <v>822</v>
      </c>
      <c r="J585" s="21">
        <f t="shared" ca="1" si="18"/>
        <v>416</v>
      </c>
      <c r="K585" s="20" t="str">
        <f t="shared" ca="1" si="19"/>
        <v>Overdue</v>
      </c>
    </row>
    <row r="586" spans="1:11" x14ac:dyDescent="0.3">
      <c r="A586" s="18" t="s">
        <v>593</v>
      </c>
      <c r="B586" s="18" t="s">
        <v>809</v>
      </c>
      <c r="C586" s="19">
        <v>45342</v>
      </c>
      <c r="D586" s="19">
        <v>45372</v>
      </c>
      <c r="E586" s="17">
        <v>860.37</v>
      </c>
      <c r="F586" s="20" t="s">
        <v>814</v>
      </c>
      <c r="G586" s="20" t="s">
        <v>821</v>
      </c>
      <c r="H586" s="22">
        <v>45372</v>
      </c>
      <c r="I586" s="20" t="s">
        <v>822</v>
      </c>
      <c r="J586" s="21">
        <f t="shared" ca="1" si="18"/>
        <v>823</v>
      </c>
      <c r="K586" s="20" t="str">
        <f t="shared" ca="1" si="19"/>
        <v>OK</v>
      </c>
    </row>
    <row r="587" spans="1:11" x14ac:dyDescent="0.3">
      <c r="A587" s="18" t="s">
        <v>594</v>
      </c>
      <c r="B587" s="18" t="s">
        <v>809</v>
      </c>
      <c r="C587" s="19">
        <v>44953</v>
      </c>
      <c r="D587" s="19">
        <v>44983</v>
      </c>
      <c r="E587" s="17">
        <v>1506.08</v>
      </c>
      <c r="F587" s="20" t="s">
        <v>814</v>
      </c>
      <c r="G587" s="20" t="s">
        <v>820</v>
      </c>
      <c r="H587" s="20" t="s">
        <v>823</v>
      </c>
      <c r="I587" s="20" t="s">
        <v>822</v>
      </c>
      <c r="J587" s="21">
        <f t="shared" ca="1" si="18"/>
        <v>1212</v>
      </c>
      <c r="K587" s="20" t="str">
        <f t="shared" ca="1" si="19"/>
        <v>Overdue</v>
      </c>
    </row>
    <row r="588" spans="1:11" x14ac:dyDescent="0.3">
      <c r="A588" s="18" t="s">
        <v>595</v>
      </c>
      <c r="B588" s="18" t="s">
        <v>812</v>
      </c>
      <c r="C588" s="19">
        <v>45163</v>
      </c>
      <c r="D588" s="19">
        <v>45193</v>
      </c>
      <c r="E588" s="17">
        <v>1413.73</v>
      </c>
      <c r="F588" s="20" t="s">
        <v>818</v>
      </c>
      <c r="G588" s="20" t="s">
        <v>819</v>
      </c>
      <c r="H588" s="20" t="s">
        <v>823</v>
      </c>
      <c r="I588" s="20" t="s">
        <v>822</v>
      </c>
      <c r="J588" s="21">
        <f t="shared" ca="1" si="18"/>
        <v>1002</v>
      </c>
      <c r="K588" s="20" t="str">
        <f t="shared" ca="1" si="19"/>
        <v>Overdue</v>
      </c>
    </row>
    <row r="589" spans="1:11" x14ac:dyDescent="0.3">
      <c r="A589" s="18" t="s">
        <v>596</v>
      </c>
      <c r="B589" s="18" t="s">
        <v>811</v>
      </c>
      <c r="C589" s="19">
        <v>45230</v>
      </c>
      <c r="D589" s="19">
        <v>45260</v>
      </c>
      <c r="E589" s="17">
        <v>3386.32</v>
      </c>
      <c r="F589" s="20" t="s">
        <v>814</v>
      </c>
      <c r="G589" s="20" t="s">
        <v>821</v>
      </c>
      <c r="H589" s="22">
        <v>45260</v>
      </c>
      <c r="I589" s="20" t="s">
        <v>822</v>
      </c>
      <c r="J589" s="21">
        <f t="shared" ca="1" si="18"/>
        <v>935</v>
      </c>
      <c r="K589" s="20" t="str">
        <f t="shared" ca="1" si="19"/>
        <v>OK</v>
      </c>
    </row>
    <row r="590" spans="1:11" x14ac:dyDescent="0.3">
      <c r="A590" s="18" t="s">
        <v>597</v>
      </c>
      <c r="B590" s="18" t="s">
        <v>809</v>
      </c>
      <c r="C590" s="19">
        <v>45633</v>
      </c>
      <c r="D590" s="19">
        <v>45663</v>
      </c>
      <c r="E590" s="17">
        <v>3632.78</v>
      </c>
      <c r="F590" s="20" t="s">
        <v>817</v>
      </c>
      <c r="G590" s="20" t="s">
        <v>821</v>
      </c>
      <c r="H590" s="22">
        <v>45663</v>
      </c>
      <c r="I590" s="20" t="s">
        <v>822</v>
      </c>
      <c r="J590" s="21">
        <f t="shared" ca="1" si="18"/>
        <v>532</v>
      </c>
      <c r="K590" s="20" t="str">
        <f t="shared" ca="1" si="19"/>
        <v>OK</v>
      </c>
    </row>
    <row r="591" spans="1:11" x14ac:dyDescent="0.3">
      <c r="A591" s="18" t="s">
        <v>598</v>
      </c>
      <c r="B591" s="18" t="s">
        <v>813</v>
      </c>
      <c r="C591" s="19">
        <v>45474</v>
      </c>
      <c r="D591" s="19">
        <v>45504</v>
      </c>
      <c r="E591" s="17">
        <v>994.97</v>
      </c>
      <c r="F591" s="20" t="s">
        <v>815</v>
      </c>
      <c r="G591" s="20" t="s">
        <v>821</v>
      </c>
      <c r="H591" s="22">
        <v>45504</v>
      </c>
      <c r="I591" s="20" t="s">
        <v>822</v>
      </c>
      <c r="J591" s="21">
        <f t="shared" ca="1" si="18"/>
        <v>691</v>
      </c>
      <c r="K591" s="20" t="str">
        <f t="shared" ca="1" si="19"/>
        <v>OK</v>
      </c>
    </row>
    <row r="592" spans="1:11" x14ac:dyDescent="0.3">
      <c r="A592" s="18" t="s">
        <v>599</v>
      </c>
      <c r="B592" s="18" t="s">
        <v>813</v>
      </c>
      <c r="C592" s="19">
        <v>45282</v>
      </c>
      <c r="D592" s="19">
        <v>45312</v>
      </c>
      <c r="E592" s="17">
        <v>2164.98</v>
      </c>
      <c r="F592" s="20" t="s">
        <v>818</v>
      </c>
      <c r="G592" s="20" t="s">
        <v>821</v>
      </c>
      <c r="H592" s="22">
        <v>45312</v>
      </c>
      <c r="I592" s="20" t="s">
        <v>822</v>
      </c>
      <c r="J592" s="21">
        <f t="shared" ca="1" si="18"/>
        <v>883</v>
      </c>
      <c r="K592" s="20" t="str">
        <f t="shared" ca="1" si="19"/>
        <v>OK</v>
      </c>
    </row>
    <row r="593" spans="1:11" x14ac:dyDescent="0.3">
      <c r="A593" s="18" t="s">
        <v>600</v>
      </c>
      <c r="B593" s="18" t="s">
        <v>812</v>
      </c>
      <c r="C593" s="19">
        <v>45510</v>
      </c>
      <c r="D593" s="19">
        <v>45540</v>
      </c>
      <c r="E593" s="17">
        <v>3042.89</v>
      </c>
      <c r="F593" s="20" t="s">
        <v>818</v>
      </c>
      <c r="G593" s="20" t="s">
        <v>821</v>
      </c>
      <c r="H593" s="22">
        <v>45540</v>
      </c>
      <c r="I593" s="20" t="s">
        <v>822</v>
      </c>
      <c r="J593" s="21">
        <f t="shared" ca="1" si="18"/>
        <v>655</v>
      </c>
      <c r="K593" s="20" t="str">
        <f t="shared" ca="1" si="19"/>
        <v>OK</v>
      </c>
    </row>
    <row r="594" spans="1:11" x14ac:dyDescent="0.3">
      <c r="A594" s="18" t="s">
        <v>601</v>
      </c>
      <c r="B594" s="18" t="s">
        <v>809</v>
      </c>
      <c r="C594" s="19">
        <v>45245</v>
      </c>
      <c r="D594" s="19">
        <v>45275</v>
      </c>
      <c r="E594" s="17">
        <v>4101.79</v>
      </c>
      <c r="F594" s="20" t="s">
        <v>818</v>
      </c>
      <c r="G594" s="20" t="s">
        <v>821</v>
      </c>
      <c r="H594" s="22">
        <v>45275</v>
      </c>
      <c r="I594" s="20" t="s">
        <v>822</v>
      </c>
      <c r="J594" s="21">
        <f t="shared" ca="1" si="18"/>
        <v>920</v>
      </c>
      <c r="K594" s="20" t="str">
        <f t="shared" ca="1" si="19"/>
        <v>OK</v>
      </c>
    </row>
    <row r="595" spans="1:11" x14ac:dyDescent="0.3">
      <c r="A595" s="18" t="s">
        <v>602</v>
      </c>
      <c r="B595" s="18" t="s">
        <v>813</v>
      </c>
      <c r="C595" s="19">
        <v>45190</v>
      </c>
      <c r="D595" s="19">
        <v>45220</v>
      </c>
      <c r="E595" s="17">
        <v>3506.57</v>
      </c>
      <c r="F595" s="20" t="s">
        <v>816</v>
      </c>
      <c r="G595" s="20" t="s">
        <v>821</v>
      </c>
      <c r="H595" s="22">
        <v>45220</v>
      </c>
      <c r="I595" s="20" t="s">
        <v>822</v>
      </c>
      <c r="J595" s="21">
        <f t="shared" ca="1" si="18"/>
        <v>975</v>
      </c>
      <c r="K595" s="20" t="str">
        <f t="shared" ca="1" si="19"/>
        <v>OK</v>
      </c>
    </row>
    <row r="596" spans="1:11" x14ac:dyDescent="0.3">
      <c r="A596" s="18" t="s">
        <v>603</v>
      </c>
      <c r="B596" s="18" t="s">
        <v>813</v>
      </c>
      <c r="C596" s="19">
        <v>45797</v>
      </c>
      <c r="D596" s="19">
        <v>45827</v>
      </c>
      <c r="E596" s="17">
        <v>3352.25</v>
      </c>
      <c r="F596" s="20" t="s">
        <v>814</v>
      </c>
      <c r="G596" s="20" t="s">
        <v>820</v>
      </c>
      <c r="H596" s="20" t="s">
        <v>823</v>
      </c>
      <c r="I596" s="20" t="s">
        <v>822</v>
      </c>
      <c r="J596" s="21">
        <f t="shared" ca="1" si="18"/>
        <v>368</v>
      </c>
      <c r="K596" s="20" t="str">
        <f t="shared" ca="1" si="19"/>
        <v>Overdue</v>
      </c>
    </row>
    <row r="597" spans="1:11" x14ac:dyDescent="0.3">
      <c r="A597" s="18" t="s">
        <v>604</v>
      </c>
      <c r="B597" s="18" t="s">
        <v>813</v>
      </c>
      <c r="C597" s="19">
        <v>45220</v>
      </c>
      <c r="D597" s="19">
        <v>45250</v>
      </c>
      <c r="E597" s="17">
        <v>940.15</v>
      </c>
      <c r="F597" s="20" t="s">
        <v>817</v>
      </c>
      <c r="G597" s="20" t="s">
        <v>819</v>
      </c>
      <c r="H597" s="20" t="s">
        <v>823</v>
      </c>
      <c r="I597" s="20" t="s">
        <v>822</v>
      </c>
      <c r="J597" s="21">
        <f t="shared" ca="1" si="18"/>
        <v>945</v>
      </c>
      <c r="K597" s="20" t="str">
        <f t="shared" ca="1" si="19"/>
        <v>Overdue</v>
      </c>
    </row>
    <row r="598" spans="1:11" x14ac:dyDescent="0.3">
      <c r="A598" s="18" t="s">
        <v>605</v>
      </c>
      <c r="B598" s="18" t="s">
        <v>809</v>
      </c>
      <c r="C598" s="19">
        <v>45162</v>
      </c>
      <c r="D598" s="19">
        <v>45192</v>
      </c>
      <c r="E598" s="17">
        <v>3505.16</v>
      </c>
      <c r="F598" s="20" t="s">
        <v>817</v>
      </c>
      <c r="G598" s="20" t="s">
        <v>819</v>
      </c>
      <c r="H598" s="20" t="s">
        <v>823</v>
      </c>
      <c r="I598" s="20" t="s">
        <v>822</v>
      </c>
      <c r="J598" s="21">
        <f t="shared" ca="1" si="18"/>
        <v>1003</v>
      </c>
      <c r="K598" s="20" t="str">
        <f t="shared" ca="1" si="19"/>
        <v>Overdue</v>
      </c>
    </row>
    <row r="599" spans="1:11" x14ac:dyDescent="0.3">
      <c r="A599" s="18" t="s">
        <v>606</v>
      </c>
      <c r="B599" s="18" t="s">
        <v>812</v>
      </c>
      <c r="C599" s="19">
        <v>45420</v>
      </c>
      <c r="D599" s="19">
        <v>45450</v>
      </c>
      <c r="E599" s="17">
        <v>319.55</v>
      </c>
      <c r="F599" s="20" t="s">
        <v>814</v>
      </c>
      <c r="G599" s="20" t="s">
        <v>820</v>
      </c>
      <c r="H599" s="20" t="s">
        <v>823</v>
      </c>
      <c r="I599" s="20" t="s">
        <v>822</v>
      </c>
      <c r="J599" s="21">
        <f t="shared" ca="1" si="18"/>
        <v>745</v>
      </c>
      <c r="K599" s="20" t="str">
        <f t="shared" ca="1" si="19"/>
        <v>Overdue</v>
      </c>
    </row>
    <row r="600" spans="1:11" x14ac:dyDescent="0.3">
      <c r="A600" s="18" t="s">
        <v>607</v>
      </c>
      <c r="B600" s="18" t="s">
        <v>811</v>
      </c>
      <c r="C600" s="19">
        <v>45223</v>
      </c>
      <c r="D600" s="19">
        <v>45253</v>
      </c>
      <c r="E600" s="17">
        <v>1360.57</v>
      </c>
      <c r="F600" s="20" t="s">
        <v>815</v>
      </c>
      <c r="G600" s="20" t="s">
        <v>821</v>
      </c>
      <c r="H600" s="22">
        <v>45253</v>
      </c>
      <c r="I600" s="20" t="s">
        <v>822</v>
      </c>
      <c r="J600" s="21">
        <f t="shared" ca="1" si="18"/>
        <v>942</v>
      </c>
      <c r="K600" s="20" t="str">
        <f t="shared" ca="1" si="19"/>
        <v>OK</v>
      </c>
    </row>
    <row r="601" spans="1:11" x14ac:dyDescent="0.3">
      <c r="A601" s="18" t="s">
        <v>608</v>
      </c>
      <c r="B601" s="18" t="s">
        <v>811</v>
      </c>
      <c r="C601" s="19">
        <v>45277</v>
      </c>
      <c r="D601" s="19">
        <v>45307</v>
      </c>
      <c r="E601" s="17">
        <v>2177.67</v>
      </c>
      <c r="F601" s="20" t="s">
        <v>817</v>
      </c>
      <c r="G601" s="20" t="s">
        <v>821</v>
      </c>
      <c r="H601" s="22">
        <v>45307</v>
      </c>
      <c r="I601" s="20" t="s">
        <v>822</v>
      </c>
      <c r="J601" s="21">
        <f t="shared" ca="1" si="18"/>
        <v>888</v>
      </c>
      <c r="K601" s="20" t="str">
        <f t="shared" ca="1" si="19"/>
        <v>OK</v>
      </c>
    </row>
    <row r="602" spans="1:11" x14ac:dyDescent="0.3">
      <c r="A602" s="18" t="s">
        <v>609</v>
      </c>
      <c r="B602" s="18" t="s">
        <v>812</v>
      </c>
      <c r="C602" s="19">
        <v>45004</v>
      </c>
      <c r="D602" s="19">
        <v>45034</v>
      </c>
      <c r="E602" s="17">
        <v>203.9</v>
      </c>
      <c r="F602" s="20" t="s">
        <v>815</v>
      </c>
      <c r="G602" s="20" t="s">
        <v>819</v>
      </c>
      <c r="H602" s="20" t="s">
        <v>823</v>
      </c>
      <c r="I602" s="20" t="s">
        <v>822</v>
      </c>
      <c r="J602" s="21">
        <f t="shared" ca="1" si="18"/>
        <v>1161</v>
      </c>
      <c r="K602" s="20" t="str">
        <f t="shared" ca="1" si="19"/>
        <v>Overdue</v>
      </c>
    </row>
    <row r="603" spans="1:11" x14ac:dyDescent="0.3">
      <c r="A603" s="18" t="s">
        <v>610</v>
      </c>
      <c r="B603" s="18" t="s">
        <v>809</v>
      </c>
      <c r="C603" s="19">
        <v>45227</v>
      </c>
      <c r="D603" s="19">
        <v>45257</v>
      </c>
      <c r="E603" s="17">
        <v>868.73</v>
      </c>
      <c r="F603" s="20" t="s">
        <v>818</v>
      </c>
      <c r="G603" s="20" t="s">
        <v>821</v>
      </c>
      <c r="H603" s="22">
        <v>45257</v>
      </c>
      <c r="I603" s="20" t="s">
        <v>822</v>
      </c>
      <c r="J603" s="21">
        <f t="shared" ca="1" si="18"/>
        <v>938</v>
      </c>
      <c r="K603" s="20" t="str">
        <f t="shared" ca="1" si="19"/>
        <v>OK</v>
      </c>
    </row>
    <row r="604" spans="1:11" x14ac:dyDescent="0.3">
      <c r="A604" s="18" t="s">
        <v>611</v>
      </c>
      <c r="B604" s="18" t="s">
        <v>813</v>
      </c>
      <c r="C604" s="19">
        <v>45082</v>
      </c>
      <c r="D604" s="19">
        <v>45112</v>
      </c>
      <c r="E604" s="17">
        <v>283.51</v>
      </c>
      <c r="F604" s="20" t="s">
        <v>818</v>
      </c>
      <c r="G604" s="20" t="s">
        <v>819</v>
      </c>
      <c r="H604" s="20" t="s">
        <v>823</v>
      </c>
      <c r="I604" s="20" t="s">
        <v>822</v>
      </c>
      <c r="J604" s="21">
        <f t="shared" ca="1" si="18"/>
        <v>1083</v>
      </c>
      <c r="K604" s="20" t="str">
        <f t="shared" ca="1" si="19"/>
        <v>Overdue</v>
      </c>
    </row>
    <row r="605" spans="1:11" x14ac:dyDescent="0.3">
      <c r="A605" s="18" t="s">
        <v>612</v>
      </c>
      <c r="B605" s="18" t="s">
        <v>810</v>
      </c>
      <c r="C605" s="19">
        <v>45625</v>
      </c>
      <c r="D605" s="19">
        <v>45655</v>
      </c>
      <c r="E605" s="17">
        <v>1373.89</v>
      </c>
      <c r="F605" s="20" t="s">
        <v>817</v>
      </c>
      <c r="G605" s="20" t="s">
        <v>820</v>
      </c>
      <c r="H605" s="20" t="s">
        <v>823</v>
      </c>
      <c r="I605" s="20" t="s">
        <v>822</v>
      </c>
      <c r="J605" s="21">
        <f t="shared" ca="1" si="18"/>
        <v>540</v>
      </c>
      <c r="K605" s="20" t="str">
        <f t="shared" ca="1" si="19"/>
        <v>Overdue</v>
      </c>
    </row>
    <row r="606" spans="1:11" x14ac:dyDescent="0.3">
      <c r="A606" s="18" t="s">
        <v>613</v>
      </c>
      <c r="B606" s="18" t="s">
        <v>809</v>
      </c>
      <c r="C606" s="19">
        <v>45794</v>
      </c>
      <c r="D606" s="19">
        <v>45824</v>
      </c>
      <c r="E606" s="17">
        <v>1032.8399999999999</v>
      </c>
      <c r="F606" s="20" t="s">
        <v>817</v>
      </c>
      <c r="G606" s="20" t="s">
        <v>820</v>
      </c>
      <c r="H606" s="20" t="s">
        <v>823</v>
      </c>
      <c r="I606" s="20" t="s">
        <v>822</v>
      </c>
      <c r="J606" s="21">
        <f t="shared" ca="1" si="18"/>
        <v>371</v>
      </c>
      <c r="K606" s="20" t="str">
        <f t="shared" ca="1" si="19"/>
        <v>Overdue</v>
      </c>
    </row>
    <row r="607" spans="1:11" x14ac:dyDescent="0.3">
      <c r="A607" s="18" t="s">
        <v>614</v>
      </c>
      <c r="B607" s="18" t="s">
        <v>811</v>
      </c>
      <c r="C607" s="19">
        <v>45623</v>
      </c>
      <c r="D607" s="19">
        <v>45653</v>
      </c>
      <c r="E607" s="17">
        <v>389.67</v>
      </c>
      <c r="F607" s="20" t="s">
        <v>816</v>
      </c>
      <c r="G607" s="20" t="s">
        <v>820</v>
      </c>
      <c r="H607" s="20" t="s">
        <v>823</v>
      </c>
      <c r="I607" s="20" t="s">
        <v>822</v>
      </c>
      <c r="J607" s="21">
        <f t="shared" ca="1" si="18"/>
        <v>542</v>
      </c>
      <c r="K607" s="20" t="str">
        <f t="shared" ca="1" si="19"/>
        <v>Overdue</v>
      </c>
    </row>
    <row r="608" spans="1:11" x14ac:dyDescent="0.3">
      <c r="A608" s="18" t="s">
        <v>615</v>
      </c>
      <c r="B608" s="18" t="s">
        <v>809</v>
      </c>
      <c r="C608" s="19">
        <v>44988</v>
      </c>
      <c r="D608" s="19">
        <v>45018</v>
      </c>
      <c r="E608" s="17">
        <v>3748.86</v>
      </c>
      <c r="F608" s="20" t="s">
        <v>814</v>
      </c>
      <c r="G608" s="20" t="s">
        <v>820</v>
      </c>
      <c r="H608" s="20" t="s">
        <v>823</v>
      </c>
      <c r="I608" s="20" t="s">
        <v>822</v>
      </c>
      <c r="J608" s="21">
        <f t="shared" ca="1" si="18"/>
        <v>1177</v>
      </c>
      <c r="K608" s="20" t="str">
        <f t="shared" ca="1" si="19"/>
        <v>Overdue</v>
      </c>
    </row>
    <row r="609" spans="1:11" x14ac:dyDescent="0.3">
      <c r="A609" s="18" t="s">
        <v>616</v>
      </c>
      <c r="B609" s="18" t="s">
        <v>813</v>
      </c>
      <c r="C609" s="19">
        <v>45635</v>
      </c>
      <c r="D609" s="19">
        <v>45665</v>
      </c>
      <c r="E609" s="17">
        <v>4546.88</v>
      </c>
      <c r="F609" s="20" t="s">
        <v>817</v>
      </c>
      <c r="G609" s="20" t="s">
        <v>819</v>
      </c>
      <c r="H609" s="20" t="s">
        <v>823</v>
      </c>
      <c r="I609" s="20" t="s">
        <v>822</v>
      </c>
      <c r="J609" s="21">
        <f t="shared" ca="1" si="18"/>
        <v>530</v>
      </c>
      <c r="K609" s="20" t="str">
        <f t="shared" ca="1" si="19"/>
        <v>Overdue</v>
      </c>
    </row>
    <row r="610" spans="1:11" x14ac:dyDescent="0.3">
      <c r="A610" s="18" t="s">
        <v>617</v>
      </c>
      <c r="B610" s="18" t="s">
        <v>812</v>
      </c>
      <c r="C610" s="19">
        <v>45299</v>
      </c>
      <c r="D610" s="19">
        <v>45329</v>
      </c>
      <c r="E610" s="17">
        <v>3439.51</v>
      </c>
      <c r="F610" s="20" t="s">
        <v>818</v>
      </c>
      <c r="G610" s="20" t="s">
        <v>820</v>
      </c>
      <c r="H610" s="20" t="s">
        <v>823</v>
      </c>
      <c r="I610" s="20" t="s">
        <v>822</v>
      </c>
      <c r="J610" s="21">
        <f t="shared" ca="1" si="18"/>
        <v>866</v>
      </c>
      <c r="K610" s="20" t="str">
        <f t="shared" ca="1" si="19"/>
        <v>Overdue</v>
      </c>
    </row>
    <row r="611" spans="1:11" x14ac:dyDescent="0.3">
      <c r="A611" s="18" t="s">
        <v>618</v>
      </c>
      <c r="B611" s="18" t="s">
        <v>813</v>
      </c>
      <c r="C611" s="19">
        <v>44976</v>
      </c>
      <c r="D611" s="19">
        <v>45006</v>
      </c>
      <c r="E611" s="17">
        <v>3319.57</v>
      </c>
      <c r="F611" s="20" t="s">
        <v>816</v>
      </c>
      <c r="G611" s="20" t="s">
        <v>819</v>
      </c>
      <c r="H611" s="20" t="s">
        <v>823</v>
      </c>
      <c r="I611" s="20" t="s">
        <v>822</v>
      </c>
      <c r="J611" s="21">
        <f t="shared" ca="1" si="18"/>
        <v>1189</v>
      </c>
      <c r="K611" s="20" t="str">
        <f t="shared" ca="1" si="19"/>
        <v>Overdue</v>
      </c>
    </row>
    <row r="612" spans="1:11" x14ac:dyDescent="0.3">
      <c r="A612" s="18" t="s">
        <v>619</v>
      </c>
      <c r="B612" s="18" t="s">
        <v>812</v>
      </c>
      <c r="C612" s="19">
        <v>44929</v>
      </c>
      <c r="D612" s="19">
        <v>44959</v>
      </c>
      <c r="E612" s="17">
        <v>3057.93</v>
      </c>
      <c r="F612" s="20" t="s">
        <v>815</v>
      </c>
      <c r="G612" s="20" t="s">
        <v>821</v>
      </c>
      <c r="H612" s="22">
        <v>44959</v>
      </c>
      <c r="I612" s="20" t="s">
        <v>822</v>
      </c>
      <c r="J612" s="21">
        <f t="shared" ca="1" si="18"/>
        <v>1236</v>
      </c>
      <c r="K612" s="20" t="str">
        <f t="shared" ca="1" si="19"/>
        <v>OK</v>
      </c>
    </row>
    <row r="613" spans="1:11" x14ac:dyDescent="0.3">
      <c r="A613" s="18" t="s">
        <v>620</v>
      </c>
      <c r="B613" s="18" t="s">
        <v>811</v>
      </c>
      <c r="C613" s="19">
        <v>45495</v>
      </c>
      <c r="D613" s="19">
        <v>45525</v>
      </c>
      <c r="E613" s="17">
        <v>1043.05</v>
      </c>
      <c r="F613" s="20" t="s">
        <v>818</v>
      </c>
      <c r="G613" s="20" t="s">
        <v>820</v>
      </c>
      <c r="H613" s="20" t="s">
        <v>823</v>
      </c>
      <c r="I613" s="20" t="s">
        <v>822</v>
      </c>
      <c r="J613" s="21">
        <f t="shared" ca="1" si="18"/>
        <v>670</v>
      </c>
      <c r="K613" s="20" t="str">
        <f t="shared" ca="1" si="19"/>
        <v>Overdue</v>
      </c>
    </row>
    <row r="614" spans="1:11" x14ac:dyDescent="0.3">
      <c r="A614" s="18" t="s">
        <v>621</v>
      </c>
      <c r="B614" s="18" t="s">
        <v>812</v>
      </c>
      <c r="C614" s="19">
        <v>45401</v>
      </c>
      <c r="D614" s="19">
        <v>45431</v>
      </c>
      <c r="E614" s="17">
        <v>1216.7</v>
      </c>
      <c r="F614" s="20" t="s">
        <v>816</v>
      </c>
      <c r="G614" s="20" t="s">
        <v>819</v>
      </c>
      <c r="H614" s="20" t="s">
        <v>823</v>
      </c>
      <c r="I614" s="20" t="s">
        <v>822</v>
      </c>
      <c r="J614" s="21">
        <f t="shared" ca="1" si="18"/>
        <v>764</v>
      </c>
      <c r="K614" s="20" t="str">
        <f t="shared" ca="1" si="19"/>
        <v>Overdue</v>
      </c>
    </row>
    <row r="615" spans="1:11" x14ac:dyDescent="0.3">
      <c r="A615" s="18" t="s">
        <v>622</v>
      </c>
      <c r="B615" s="18" t="s">
        <v>813</v>
      </c>
      <c r="C615" s="19">
        <v>45085</v>
      </c>
      <c r="D615" s="19">
        <v>45115</v>
      </c>
      <c r="E615" s="17">
        <v>1242.77</v>
      </c>
      <c r="F615" s="20" t="s">
        <v>818</v>
      </c>
      <c r="G615" s="20" t="s">
        <v>819</v>
      </c>
      <c r="H615" s="20" t="s">
        <v>823</v>
      </c>
      <c r="I615" s="20" t="s">
        <v>822</v>
      </c>
      <c r="J615" s="21">
        <f t="shared" ca="1" si="18"/>
        <v>1080</v>
      </c>
      <c r="K615" s="20" t="str">
        <f t="shared" ca="1" si="19"/>
        <v>Overdue</v>
      </c>
    </row>
    <row r="616" spans="1:11" x14ac:dyDescent="0.3">
      <c r="A616" s="18" t="s">
        <v>623</v>
      </c>
      <c r="B616" s="18" t="s">
        <v>812</v>
      </c>
      <c r="C616" s="19">
        <v>44943</v>
      </c>
      <c r="D616" s="19">
        <v>44973</v>
      </c>
      <c r="E616" s="17">
        <v>1253.18</v>
      </c>
      <c r="F616" s="20" t="s">
        <v>814</v>
      </c>
      <c r="G616" s="20" t="s">
        <v>819</v>
      </c>
      <c r="H616" s="20" t="s">
        <v>823</v>
      </c>
      <c r="I616" s="20" t="s">
        <v>822</v>
      </c>
      <c r="J616" s="21">
        <f t="shared" ca="1" si="18"/>
        <v>1222</v>
      </c>
      <c r="K616" s="20" t="str">
        <f t="shared" ca="1" si="19"/>
        <v>Overdue</v>
      </c>
    </row>
    <row r="617" spans="1:11" x14ac:dyDescent="0.3">
      <c r="A617" s="18" t="s">
        <v>624</v>
      </c>
      <c r="B617" s="18" t="s">
        <v>811</v>
      </c>
      <c r="C617" s="19">
        <v>45278</v>
      </c>
      <c r="D617" s="19">
        <v>45308</v>
      </c>
      <c r="E617" s="17">
        <v>1423.03</v>
      </c>
      <c r="F617" s="20" t="s">
        <v>816</v>
      </c>
      <c r="G617" s="20" t="s">
        <v>819</v>
      </c>
      <c r="H617" s="20" t="s">
        <v>823</v>
      </c>
      <c r="I617" s="20" t="s">
        <v>822</v>
      </c>
      <c r="J617" s="21">
        <f t="shared" ca="1" si="18"/>
        <v>887</v>
      </c>
      <c r="K617" s="20" t="str">
        <f t="shared" ca="1" si="19"/>
        <v>Overdue</v>
      </c>
    </row>
    <row r="618" spans="1:11" x14ac:dyDescent="0.3">
      <c r="A618" s="18" t="s">
        <v>625</v>
      </c>
      <c r="B618" s="18" t="s">
        <v>812</v>
      </c>
      <c r="C618" s="19">
        <v>44940</v>
      </c>
      <c r="D618" s="19">
        <v>44970</v>
      </c>
      <c r="E618" s="17">
        <v>908.37</v>
      </c>
      <c r="F618" s="20" t="s">
        <v>814</v>
      </c>
      <c r="G618" s="20" t="s">
        <v>821</v>
      </c>
      <c r="H618" s="22">
        <v>44970</v>
      </c>
      <c r="I618" s="20" t="s">
        <v>822</v>
      </c>
      <c r="J618" s="21">
        <f t="shared" ca="1" si="18"/>
        <v>1225</v>
      </c>
      <c r="K618" s="20" t="str">
        <f t="shared" ca="1" si="19"/>
        <v>OK</v>
      </c>
    </row>
    <row r="619" spans="1:11" x14ac:dyDescent="0.3">
      <c r="A619" s="18" t="s">
        <v>626</v>
      </c>
      <c r="B619" s="18" t="s">
        <v>809</v>
      </c>
      <c r="C619" s="19">
        <v>45607</v>
      </c>
      <c r="D619" s="19">
        <v>45637</v>
      </c>
      <c r="E619" s="17">
        <v>4103.24</v>
      </c>
      <c r="F619" s="20" t="s">
        <v>816</v>
      </c>
      <c r="G619" s="20" t="s">
        <v>819</v>
      </c>
      <c r="H619" s="20" t="s">
        <v>823</v>
      </c>
      <c r="I619" s="20" t="s">
        <v>822</v>
      </c>
      <c r="J619" s="21">
        <f t="shared" ca="1" si="18"/>
        <v>558</v>
      </c>
      <c r="K619" s="20" t="str">
        <f t="shared" ca="1" si="19"/>
        <v>Overdue</v>
      </c>
    </row>
    <row r="620" spans="1:11" x14ac:dyDescent="0.3">
      <c r="A620" s="18" t="s">
        <v>627</v>
      </c>
      <c r="B620" s="18" t="s">
        <v>812</v>
      </c>
      <c r="C620" s="19">
        <v>45591</v>
      </c>
      <c r="D620" s="19">
        <v>45621</v>
      </c>
      <c r="E620" s="17">
        <v>2557.84</v>
      </c>
      <c r="F620" s="20" t="s">
        <v>816</v>
      </c>
      <c r="G620" s="20" t="s">
        <v>820</v>
      </c>
      <c r="H620" s="20" t="s">
        <v>823</v>
      </c>
      <c r="I620" s="20" t="s">
        <v>822</v>
      </c>
      <c r="J620" s="21">
        <f t="shared" ca="1" si="18"/>
        <v>574</v>
      </c>
      <c r="K620" s="20" t="str">
        <f t="shared" ca="1" si="19"/>
        <v>Overdue</v>
      </c>
    </row>
    <row r="621" spans="1:11" x14ac:dyDescent="0.3">
      <c r="A621" s="18" t="s">
        <v>628</v>
      </c>
      <c r="B621" s="18" t="s">
        <v>810</v>
      </c>
      <c r="C621" s="19">
        <v>44927</v>
      </c>
      <c r="D621" s="19">
        <v>44957</v>
      </c>
      <c r="E621" s="17">
        <v>4192.79</v>
      </c>
      <c r="F621" s="20" t="s">
        <v>818</v>
      </c>
      <c r="G621" s="20" t="s">
        <v>820</v>
      </c>
      <c r="H621" s="20" t="s">
        <v>823</v>
      </c>
      <c r="I621" s="20" t="s">
        <v>822</v>
      </c>
      <c r="J621" s="21">
        <f t="shared" ca="1" si="18"/>
        <v>1238</v>
      </c>
      <c r="K621" s="20" t="str">
        <f t="shared" ca="1" si="19"/>
        <v>Overdue</v>
      </c>
    </row>
    <row r="622" spans="1:11" x14ac:dyDescent="0.3">
      <c r="A622" s="18" t="s">
        <v>629</v>
      </c>
      <c r="B622" s="18" t="s">
        <v>811</v>
      </c>
      <c r="C622" s="19">
        <v>45605</v>
      </c>
      <c r="D622" s="19">
        <v>45635</v>
      </c>
      <c r="E622" s="17">
        <v>2144.7199999999998</v>
      </c>
      <c r="F622" s="20" t="s">
        <v>818</v>
      </c>
      <c r="G622" s="20" t="s">
        <v>820</v>
      </c>
      <c r="H622" s="20" t="s">
        <v>823</v>
      </c>
      <c r="I622" s="20" t="s">
        <v>822</v>
      </c>
      <c r="J622" s="21">
        <f t="shared" ca="1" si="18"/>
        <v>560</v>
      </c>
      <c r="K622" s="20" t="str">
        <f t="shared" ca="1" si="19"/>
        <v>Overdue</v>
      </c>
    </row>
    <row r="623" spans="1:11" x14ac:dyDescent="0.3">
      <c r="A623" s="18" t="s">
        <v>630</v>
      </c>
      <c r="B623" s="18" t="s">
        <v>811</v>
      </c>
      <c r="C623" s="19">
        <v>45604</v>
      </c>
      <c r="D623" s="19">
        <v>45634</v>
      </c>
      <c r="E623" s="17">
        <v>669.43</v>
      </c>
      <c r="F623" s="20" t="s">
        <v>817</v>
      </c>
      <c r="G623" s="20" t="s">
        <v>819</v>
      </c>
      <c r="H623" s="20" t="s">
        <v>823</v>
      </c>
      <c r="I623" s="20" t="s">
        <v>822</v>
      </c>
      <c r="J623" s="21">
        <f t="shared" ca="1" si="18"/>
        <v>561</v>
      </c>
      <c r="K623" s="20" t="str">
        <f t="shared" ca="1" si="19"/>
        <v>Overdue</v>
      </c>
    </row>
    <row r="624" spans="1:11" x14ac:dyDescent="0.3">
      <c r="A624" s="18" t="s">
        <v>631</v>
      </c>
      <c r="B624" s="18" t="s">
        <v>809</v>
      </c>
      <c r="C624" s="19">
        <v>45717</v>
      </c>
      <c r="D624" s="19">
        <v>45747</v>
      </c>
      <c r="E624" s="17">
        <v>2583.87</v>
      </c>
      <c r="F624" s="20" t="s">
        <v>818</v>
      </c>
      <c r="G624" s="20" t="s">
        <v>821</v>
      </c>
      <c r="H624" s="22">
        <v>45747</v>
      </c>
      <c r="I624" s="20" t="s">
        <v>822</v>
      </c>
      <c r="J624" s="21">
        <f t="shared" ca="1" si="18"/>
        <v>448</v>
      </c>
      <c r="K624" s="20" t="str">
        <f t="shared" ca="1" si="19"/>
        <v>OK</v>
      </c>
    </row>
    <row r="625" spans="1:11" x14ac:dyDescent="0.3">
      <c r="A625" s="18" t="s">
        <v>632</v>
      </c>
      <c r="B625" s="18" t="s">
        <v>810</v>
      </c>
      <c r="C625" s="19">
        <v>45683</v>
      </c>
      <c r="D625" s="19">
        <v>45713</v>
      </c>
      <c r="E625" s="17">
        <v>2870.13</v>
      </c>
      <c r="F625" s="20" t="s">
        <v>816</v>
      </c>
      <c r="G625" s="20" t="s">
        <v>819</v>
      </c>
      <c r="H625" s="20" t="s">
        <v>823</v>
      </c>
      <c r="I625" s="20" t="s">
        <v>822</v>
      </c>
      <c r="J625" s="21">
        <f t="shared" ca="1" si="18"/>
        <v>482</v>
      </c>
      <c r="K625" s="20" t="str">
        <f t="shared" ca="1" si="19"/>
        <v>Overdue</v>
      </c>
    </row>
    <row r="626" spans="1:11" x14ac:dyDescent="0.3">
      <c r="A626" s="18" t="s">
        <v>633</v>
      </c>
      <c r="B626" s="18" t="s">
        <v>812</v>
      </c>
      <c r="C626" s="19">
        <v>45748</v>
      </c>
      <c r="D626" s="19">
        <v>45778</v>
      </c>
      <c r="E626" s="17">
        <v>308.64</v>
      </c>
      <c r="F626" s="20" t="s">
        <v>815</v>
      </c>
      <c r="G626" s="20" t="s">
        <v>819</v>
      </c>
      <c r="H626" s="20" t="s">
        <v>823</v>
      </c>
      <c r="I626" s="20" t="s">
        <v>822</v>
      </c>
      <c r="J626" s="21">
        <f t="shared" ca="1" si="18"/>
        <v>417</v>
      </c>
      <c r="K626" s="20" t="str">
        <f t="shared" ca="1" si="19"/>
        <v>Overdue</v>
      </c>
    </row>
    <row r="627" spans="1:11" x14ac:dyDescent="0.3">
      <c r="A627" s="18" t="s">
        <v>634</v>
      </c>
      <c r="B627" s="18" t="s">
        <v>810</v>
      </c>
      <c r="C627" s="19">
        <v>45542</v>
      </c>
      <c r="D627" s="19">
        <v>45572</v>
      </c>
      <c r="E627" s="17">
        <v>754.61</v>
      </c>
      <c r="F627" s="20" t="s">
        <v>817</v>
      </c>
      <c r="G627" s="20" t="s">
        <v>821</v>
      </c>
      <c r="H627" s="22">
        <v>45572</v>
      </c>
      <c r="I627" s="20" t="s">
        <v>822</v>
      </c>
      <c r="J627" s="21">
        <f t="shared" ca="1" si="18"/>
        <v>623</v>
      </c>
      <c r="K627" s="20" t="str">
        <f t="shared" ca="1" si="19"/>
        <v>OK</v>
      </c>
    </row>
    <row r="628" spans="1:11" x14ac:dyDescent="0.3">
      <c r="A628" s="18" t="s">
        <v>635</v>
      </c>
      <c r="B628" s="18" t="s">
        <v>812</v>
      </c>
      <c r="C628" s="19">
        <v>45799</v>
      </c>
      <c r="D628" s="19">
        <v>45829</v>
      </c>
      <c r="E628" s="17">
        <v>1564.86</v>
      </c>
      <c r="F628" s="20" t="s">
        <v>814</v>
      </c>
      <c r="G628" s="20" t="s">
        <v>819</v>
      </c>
      <c r="H628" s="20" t="s">
        <v>823</v>
      </c>
      <c r="I628" s="20" t="s">
        <v>822</v>
      </c>
      <c r="J628" s="21">
        <f t="shared" ca="1" si="18"/>
        <v>366</v>
      </c>
      <c r="K628" s="20" t="str">
        <f t="shared" ca="1" si="19"/>
        <v>Overdue</v>
      </c>
    </row>
    <row r="629" spans="1:11" x14ac:dyDescent="0.3">
      <c r="A629" s="18" t="s">
        <v>636</v>
      </c>
      <c r="B629" s="18" t="s">
        <v>810</v>
      </c>
      <c r="C629" s="19">
        <v>44941</v>
      </c>
      <c r="D629" s="19">
        <v>44971</v>
      </c>
      <c r="E629" s="17">
        <v>2205.11</v>
      </c>
      <c r="F629" s="20" t="s">
        <v>816</v>
      </c>
      <c r="G629" s="20" t="s">
        <v>820</v>
      </c>
      <c r="H629" s="20" t="s">
        <v>823</v>
      </c>
      <c r="I629" s="20" t="s">
        <v>822</v>
      </c>
      <c r="J629" s="21">
        <f t="shared" ca="1" si="18"/>
        <v>1224</v>
      </c>
      <c r="K629" s="20" t="str">
        <f t="shared" ca="1" si="19"/>
        <v>Overdue</v>
      </c>
    </row>
    <row r="630" spans="1:11" x14ac:dyDescent="0.3">
      <c r="A630" s="18" t="s">
        <v>637</v>
      </c>
      <c r="B630" s="18" t="s">
        <v>812</v>
      </c>
      <c r="C630" s="19">
        <v>45421</v>
      </c>
      <c r="D630" s="19">
        <v>45451</v>
      </c>
      <c r="E630" s="17">
        <v>562.79999999999995</v>
      </c>
      <c r="F630" s="20" t="s">
        <v>816</v>
      </c>
      <c r="G630" s="20" t="s">
        <v>820</v>
      </c>
      <c r="H630" s="20" t="s">
        <v>823</v>
      </c>
      <c r="I630" s="20" t="s">
        <v>822</v>
      </c>
      <c r="J630" s="21">
        <f t="shared" ca="1" si="18"/>
        <v>744</v>
      </c>
      <c r="K630" s="20" t="str">
        <f t="shared" ca="1" si="19"/>
        <v>Overdue</v>
      </c>
    </row>
    <row r="631" spans="1:11" x14ac:dyDescent="0.3">
      <c r="A631" s="18" t="s">
        <v>638</v>
      </c>
      <c r="B631" s="18" t="s">
        <v>809</v>
      </c>
      <c r="C631" s="19">
        <v>44987</v>
      </c>
      <c r="D631" s="19">
        <v>45017</v>
      </c>
      <c r="E631" s="17">
        <v>3911.54</v>
      </c>
      <c r="F631" s="20" t="s">
        <v>817</v>
      </c>
      <c r="G631" s="20" t="s">
        <v>820</v>
      </c>
      <c r="H631" s="20" t="s">
        <v>823</v>
      </c>
      <c r="I631" s="20" t="s">
        <v>822</v>
      </c>
      <c r="J631" s="21">
        <f t="shared" ca="1" si="18"/>
        <v>1178</v>
      </c>
      <c r="K631" s="20" t="str">
        <f t="shared" ca="1" si="19"/>
        <v>Overdue</v>
      </c>
    </row>
    <row r="632" spans="1:11" x14ac:dyDescent="0.3">
      <c r="A632" s="18" t="s">
        <v>639</v>
      </c>
      <c r="B632" s="18" t="s">
        <v>813</v>
      </c>
      <c r="C632" s="19">
        <v>45836</v>
      </c>
      <c r="D632" s="19">
        <v>45866</v>
      </c>
      <c r="E632" s="17">
        <v>3891.61</v>
      </c>
      <c r="F632" s="20" t="s">
        <v>815</v>
      </c>
      <c r="G632" s="20" t="s">
        <v>820</v>
      </c>
      <c r="H632" s="20" t="s">
        <v>823</v>
      </c>
      <c r="I632" s="20" t="s">
        <v>822</v>
      </c>
      <c r="J632" s="21">
        <f t="shared" ca="1" si="18"/>
        <v>329</v>
      </c>
      <c r="K632" s="20" t="str">
        <f t="shared" ca="1" si="19"/>
        <v>Overdue</v>
      </c>
    </row>
    <row r="633" spans="1:11" x14ac:dyDescent="0.3">
      <c r="A633" s="18" t="s">
        <v>640</v>
      </c>
      <c r="B633" s="18" t="s">
        <v>811</v>
      </c>
      <c r="C633" s="19">
        <v>44972</v>
      </c>
      <c r="D633" s="19">
        <v>45002</v>
      </c>
      <c r="E633" s="17">
        <v>2302.46</v>
      </c>
      <c r="F633" s="20" t="s">
        <v>816</v>
      </c>
      <c r="G633" s="20" t="s">
        <v>819</v>
      </c>
      <c r="H633" s="20" t="s">
        <v>823</v>
      </c>
      <c r="I633" s="20" t="s">
        <v>822</v>
      </c>
      <c r="J633" s="21">
        <f t="shared" ca="1" si="18"/>
        <v>1193</v>
      </c>
      <c r="K633" s="20" t="str">
        <f t="shared" ca="1" si="19"/>
        <v>Overdue</v>
      </c>
    </row>
    <row r="634" spans="1:11" x14ac:dyDescent="0.3">
      <c r="A634" s="18" t="s">
        <v>641</v>
      </c>
      <c r="B634" s="18" t="s">
        <v>812</v>
      </c>
      <c r="C634" s="19">
        <v>45388</v>
      </c>
      <c r="D634" s="19">
        <v>45418</v>
      </c>
      <c r="E634" s="17">
        <v>3723.61</v>
      </c>
      <c r="F634" s="20" t="s">
        <v>817</v>
      </c>
      <c r="G634" s="20" t="s">
        <v>819</v>
      </c>
      <c r="H634" s="20" t="s">
        <v>823</v>
      </c>
      <c r="I634" s="20" t="s">
        <v>822</v>
      </c>
      <c r="J634" s="21">
        <f t="shared" ca="1" si="18"/>
        <v>777</v>
      </c>
      <c r="K634" s="20" t="str">
        <f t="shared" ca="1" si="19"/>
        <v>Overdue</v>
      </c>
    </row>
    <row r="635" spans="1:11" x14ac:dyDescent="0.3">
      <c r="A635" s="18" t="s">
        <v>642</v>
      </c>
      <c r="B635" s="18" t="s">
        <v>809</v>
      </c>
      <c r="C635" s="19">
        <v>45348</v>
      </c>
      <c r="D635" s="19">
        <v>45378</v>
      </c>
      <c r="E635" s="17">
        <v>2892.87</v>
      </c>
      <c r="F635" s="20" t="s">
        <v>814</v>
      </c>
      <c r="G635" s="20" t="s">
        <v>819</v>
      </c>
      <c r="H635" s="20" t="s">
        <v>823</v>
      </c>
      <c r="I635" s="20" t="s">
        <v>822</v>
      </c>
      <c r="J635" s="21">
        <f t="shared" ca="1" si="18"/>
        <v>817</v>
      </c>
      <c r="K635" s="20" t="str">
        <f t="shared" ca="1" si="19"/>
        <v>Overdue</v>
      </c>
    </row>
    <row r="636" spans="1:11" x14ac:dyDescent="0.3">
      <c r="A636" s="18" t="s">
        <v>643</v>
      </c>
      <c r="B636" s="18" t="s">
        <v>811</v>
      </c>
      <c r="C636" s="19">
        <v>45650</v>
      </c>
      <c r="D636" s="19">
        <v>45680</v>
      </c>
      <c r="E636" s="17">
        <v>2261.7399999999998</v>
      </c>
      <c r="F636" s="20" t="s">
        <v>816</v>
      </c>
      <c r="G636" s="20" t="s">
        <v>819</v>
      </c>
      <c r="H636" s="20" t="s">
        <v>823</v>
      </c>
      <c r="I636" s="20" t="s">
        <v>822</v>
      </c>
      <c r="J636" s="21">
        <f t="shared" ca="1" si="18"/>
        <v>515</v>
      </c>
      <c r="K636" s="20" t="str">
        <f t="shared" ca="1" si="19"/>
        <v>Overdue</v>
      </c>
    </row>
    <row r="637" spans="1:11" x14ac:dyDescent="0.3">
      <c r="A637" s="18" t="s">
        <v>644</v>
      </c>
      <c r="B637" s="18" t="s">
        <v>812</v>
      </c>
      <c r="C637" s="19">
        <v>45361</v>
      </c>
      <c r="D637" s="19">
        <v>45391</v>
      </c>
      <c r="E637" s="17">
        <v>3900.62</v>
      </c>
      <c r="F637" s="20" t="s">
        <v>818</v>
      </c>
      <c r="G637" s="20" t="s">
        <v>820</v>
      </c>
      <c r="H637" s="20" t="s">
        <v>823</v>
      </c>
      <c r="I637" s="20" t="s">
        <v>822</v>
      </c>
      <c r="J637" s="21">
        <f t="shared" ca="1" si="18"/>
        <v>804</v>
      </c>
      <c r="K637" s="20" t="str">
        <f t="shared" ca="1" si="19"/>
        <v>Overdue</v>
      </c>
    </row>
    <row r="638" spans="1:11" x14ac:dyDescent="0.3">
      <c r="A638" s="18" t="s">
        <v>645</v>
      </c>
      <c r="B638" s="18" t="s">
        <v>812</v>
      </c>
      <c r="C638" s="19">
        <v>45419</v>
      </c>
      <c r="D638" s="19">
        <v>45449</v>
      </c>
      <c r="E638" s="17">
        <v>4377.2</v>
      </c>
      <c r="F638" s="20" t="s">
        <v>816</v>
      </c>
      <c r="G638" s="20" t="s">
        <v>819</v>
      </c>
      <c r="H638" s="20" t="s">
        <v>823</v>
      </c>
      <c r="I638" s="20" t="s">
        <v>822</v>
      </c>
      <c r="J638" s="21">
        <f t="shared" ca="1" si="18"/>
        <v>746</v>
      </c>
      <c r="K638" s="20" t="str">
        <f t="shared" ca="1" si="19"/>
        <v>Overdue</v>
      </c>
    </row>
    <row r="639" spans="1:11" x14ac:dyDescent="0.3">
      <c r="A639" s="18" t="s">
        <v>646</v>
      </c>
      <c r="B639" s="18" t="s">
        <v>813</v>
      </c>
      <c r="C639" s="19">
        <v>45670</v>
      </c>
      <c r="D639" s="19">
        <v>45700</v>
      </c>
      <c r="E639" s="17">
        <v>4656.51</v>
      </c>
      <c r="F639" s="20" t="s">
        <v>818</v>
      </c>
      <c r="G639" s="20" t="s">
        <v>821</v>
      </c>
      <c r="H639" s="22">
        <v>45700</v>
      </c>
      <c r="I639" s="20" t="s">
        <v>822</v>
      </c>
      <c r="J639" s="21">
        <f t="shared" ca="1" si="18"/>
        <v>495</v>
      </c>
      <c r="K639" s="20" t="str">
        <f t="shared" ca="1" si="19"/>
        <v>OK</v>
      </c>
    </row>
    <row r="640" spans="1:11" x14ac:dyDescent="0.3">
      <c r="A640" s="18" t="s">
        <v>647</v>
      </c>
      <c r="B640" s="18" t="s">
        <v>811</v>
      </c>
      <c r="C640" s="19">
        <v>45704</v>
      </c>
      <c r="D640" s="19">
        <v>45734</v>
      </c>
      <c r="E640" s="17">
        <v>4576.1099999999997</v>
      </c>
      <c r="F640" s="20" t="s">
        <v>817</v>
      </c>
      <c r="G640" s="20" t="s">
        <v>819</v>
      </c>
      <c r="H640" s="20" t="s">
        <v>823</v>
      </c>
      <c r="I640" s="20" t="s">
        <v>822</v>
      </c>
      <c r="J640" s="21">
        <f t="shared" ca="1" si="18"/>
        <v>461</v>
      </c>
      <c r="K640" s="20" t="str">
        <f t="shared" ca="1" si="19"/>
        <v>Overdue</v>
      </c>
    </row>
    <row r="641" spans="1:11" x14ac:dyDescent="0.3">
      <c r="A641" s="18" t="s">
        <v>648</v>
      </c>
      <c r="B641" s="18" t="s">
        <v>812</v>
      </c>
      <c r="C641" s="19">
        <v>45781</v>
      </c>
      <c r="D641" s="19">
        <v>45811</v>
      </c>
      <c r="E641" s="17">
        <v>1039.52</v>
      </c>
      <c r="F641" s="20" t="s">
        <v>814</v>
      </c>
      <c r="G641" s="20" t="s">
        <v>820</v>
      </c>
      <c r="H641" s="20" t="s">
        <v>823</v>
      </c>
      <c r="I641" s="20" t="s">
        <v>822</v>
      </c>
      <c r="J641" s="21">
        <f t="shared" ca="1" si="18"/>
        <v>384</v>
      </c>
      <c r="K641" s="20" t="str">
        <f t="shared" ca="1" si="19"/>
        <v>Overdue</v>
      </c>
    </row>
    <row r="642" spans="1:11" x14ac:dyDescent="0.3">
      <c r="A642" s="18" t="s">
        <v>649</v>
      </c>
      <c r="B642" s="18" t="s">
        <v>813</v>
      </c>
      <c r="C642" s="19">
        <v>45171</v>
      </c>
      <c r="D642" s="19">
        <v>45201</v>
      </c>
      <c r="E642" s="17">
        <v>179.18</v>
      </c>
      <c r="F642" s="20" t="s">
        <v>816</v>
      </c>
      <c r="G642" s="20" t="s">
        <v>821</v>
      </c>
      <c r="H642" s="22">
        <v>45201</v>
      </c>
      <c r="I642" s="20" t="s">
        <v>822</v>
      </c>
      <c r="J642" s="21">
        <f t="shared" ref="J642:J705" ca="1" si="20">TODAY()-D642</f>
        <v>994</v>
      </c>
      <c r="K642" s="20" t="str">
        <f t="shared" ref="K642:K705" ca="1" si="21">IF(AND(TODAY()&gt;D642,G642&lt;&gt;"Paid"),"Overdue","OK")</f>
        <v>OK</v>
      </c>
    </row>
    <row r="643" spans="1:11" x14ac:dyDescent="0.3">
      <c r="A643" s="18" t="s">
        <v>650</v>
      </c>
      <c r="B643" s="18" t="s">
        <v>811</v>
      </c>
      <c r="C643" s="19">
        <v>45235</v>
      </c>
      <c r="D643" s="19">
        <v>45265</v>
      </c>
      <c r="E643" s="17">
        <v>2198.02</v>
      </c>
      <c r="F643" s="20" t="s">
        <v>818</v>
      </c>
      <c r="G643" s="20" t="s">
        <v>821</v>
      </c>
      <c r="H643" s="22">
        <v>45265</v>
      </c>
      <c r="I643" s="20" t="s">
        <v>822</v>
      </c>
      <c r="J643" s="21">
        <f t="shared" ca="1" si="20"/>
        <v>930</v>
      </c>
      <c r="K643" s="20" t="str">
        <f t="shared" ca="1" si="21"/>
        <v>OK</v>
      </c>
    </row>
    <row r="644" spans="1:11" x14ac:dyDescent="0.3">
      <c r="A644" s="18" t="s">
        <v>651</v>
      </c>
      <c r="B644" s="18" t="s">
        <v>810</v>
      </c>
      <c r="C644" s="19">
        <v>45362</v>
      </c>
      <c r="D644" s="19">
        <v>45392</v>
      </c>
      <c r="E644" s="17">
        <v>3150.23</v>
      </c>
      <c r="F644" s="20" t="s">
        <v>818</v>
      </c>
      <c r="G644" s="20" t="s">
        <v>820</v>
      </c>
      <c r="H644" s="20" t="s">
        <v>823</v>
      </c>
      <c r="I644" s="20" t="s">
        <v>822</v>
      </c>
      <c r="J644" s="21">
        <f t="shared" ca="1" si="20"/>
        <v>803</v>
      </c>
      <c r="K644" s="20" t="str">
        <f t="shared" ca="1" si="21"/>
        <v>Overdue</v>
      </c>
    </row>
    <row r="645" spans="1:11" x14ac:dyDescent="0.3">
      <c r="A645" s="18" t="s">
        <v>652</v>
      </c>
      <c r="B645" s="18" t="s">
        <v>810</v>
      </c>
      <c r="C645" s="19">
        <v>45236</v>
      </c>
      <c r="D645" s="19">
        <v>45266</v>
      </c>
      <c r="E645" s="17">
        <v>4973.37</v>
      </c>
      <c r="F645" s="20" t="s">
        <v>818</v>
      </c>
      <c r="G645" s="20" t="s">
        <v>820</v>
      </c>
      <c r="H645" s="20" t="s">
        <v>823</v>
      </c>
      <c r="I645" s="20" t="s">
        <v>822</v>
      </c>
      <c r="J645" s="21">
        <f t="shared" ca="1" si="20"/>
        <v>929</v>
      </c>
      <c r="K645" s="20" t="str">
        <f t="shared" ca="1" si="21"/>
        <v>Overdue</v>
      </c>
    </row>
    <row r="646" spans="1:11" x14ac:dyDescent="0.3">
      <c r="A646" s="18" t="s">
        <v>653</v>
      </c>
      <c r="B646" s="18" t="s">
        <v>811</v>
      </c>
      <c r="C646" s="19">
        <v>45757</v>
      </c>
      <c r="D646" s="19">
        <v>45787</v>
      </c>
      <c r="E646" s="17">
        <v>4507.3999999999996</v>
      </c>
      <c r="F646" s="20" t="s">
        <v>815</v>
      </c>
      <c r="G646" s="20" t="s">
        <v>821</v>
      </c>
      <c r="H646" s="22">
        <v>45787</v>
      </c>
      <c r="I646" s="20" t="s">
        <v>822</v>
      </c>
      <c r="J646" s="21">
        <f t="shared" ca="1" si="20"/>
        <v>408</v>
      </c>
      <c r="K646" s="20" t="str">
        <f t="shared" ca="1" si="21"/>
        <v>OK</v>
      </c>
    </row>
    <row r="647" spans="1:11" x14ac:dyDescent="0.3">
      <c r="A647" s="18" t="s">
        <v>654</v>
      </c>
      <c r="B647" s="18" t="s">
        <v>809</v>
      </c>
      <c r="C647" s="19">
        <v>45125</v>
      </c>
      <c r="D647" s="19">
        <v>45155</v>
      </c>
      <c r="E647" s="17">
        <v>2432.37</v>
      </c>
      <c r="F647" s="20" t="s">
        <v>816</v>
      </c>
      <c r="G647" s="20" t="s">
        <v>820</v>
      </c>
      <c r="H647" s="20" t="s">
        <v>823</v>
      </c>
      <c r="I647" s="20" t="s">
        <v>822</v>
      </c>
      <c r="J647" s="21">
        <f t="shared" ca="1" si="20"/>
        <v>1040</v>
      </c>
      <c r="K647" s="20" t="str">
        <f t="shared" ca="1" si="21"/>
        <v>Overdue</v>
      </c>
    </row>
    <row r="648" spans="1:11" x14ac:dyDescent="0.3">
      <c r="A648" s="18" t="s">
        <v>655</v>
      </c>
      <c r="B648" s="18" t="s">
        <v>812</v>
      </c>
      <c r="C648" s="19">
        <v>45171</v>
      </c>
      <c r="D648" s="19">
        <v>45201</v>
      </c>
      <c r="E648" s="17">
        <v>3421.02</v>
      </c>
      <c r="F648" s="20" t="s">
        <v>818</v>
      </c>
      <c r="G648" s="20" t="s">
        <v>819</v>
      </c>
      <c r="H648" s="20" t="s">
        <v>823</v>
      </c>
      <c r="I648" s="20" t="s">
        <v>822</v>
      </c>
      <c r="J648" s="21">
        <f t="shared" ca="1" si="20"/>
        <v>994</v>
      </c>
      <c r="K648" s="20" t="str">
        <f t="shared" ca="1" si="21"/>
        <v>Overdue</v>
      </c>
    </row>
    <row r="649" spans="1:11" x14ac:dyDescent="0.3">
      <c r="A649" s="18" t="s">
        <v>656</v>
      </c>
      <c r="B649" s="18" t="s">
        <v>812</v>
      </c>
      <c r="C649" s="19">
        <v>45146</v>
      </c>
      <c r="D649" s="19">
        <v>45176</v>
      </c>
      <c r="E649" s="17">
        <v>223.05</v>
      </c>
      <c r="F649" s="20" t="s">
        <v>816</v>
      </c>
      <c r="G649" s="20" t="s">
        <v>821</v>
      </c>
      <c r="H649" s="22">
        <v>45176</v>
      </c>
      <c r="I649" s="20" t="s">
        <v>822</v>
      </c>
      <c r="J649" s="21">
        <f t="shared" ca="1" si="20"/>
        <v>1019</v>
      </c>
      <c r="K649" s="20" t="str">
        <f t="shared" ca="1" si="21"/>
        <v>OK</v>
      </c>
    </row>
    <row r="650" spans="1:11" x14ac:dyDescent="0.3">
      <c r="A650" s="18" t="s">
        <v>657</v>
      </c>
      <c r="B650" s="18" t="s">
        <v>809</v>
      </c>
      <c r="C650" s="19">
        <v>45455</v>
      </c>
      <c r="D650" s="19">
        <v>45485</v>
      </c>
      <c r="E650" s="17">
        <v>599.71</v>
      </c>
      <c r="F650" s="20" t="s">
        <v>817</v>
      </c>
      <c r="G650" s="20" t="s">
        <v>819</v>
      </c>
      <c r="H650" s="20" t="s">
        <v>823</v>
      </c>
      <c r="I650" s="20" t="s">
        <v>822</v>
      </c>
      <c r="J650" s="21">
        <f t="shared" ca="1" si="20"/>
        <v>710</v>
      </c>
      <c r="K650" s="20" t="str">
        <f t="shared" ca="1" si="21"/>
        <v>Overdue</v>
      </c>
    </row>
    <row r="651" spans="1:11" x14ac:dyDescent="0.3">
      <c r="A651" s="18" t="s">
        <v>658</v>
      </c>
      <c r="B651" s="18" t="s">
        <v>809</v>
      </c>
      <c r="C651" s="19">
        <v>45029</v>
      </c>
      <c r="D651" s="19">
        <v>45059</v>
      </c>
      <c r="E651" s="17">
        <v>4739.08</v>
      </c>
      <c r="F651" s="20" t="s">
        <v>814</v>
      </c>
      <c r="G651" s="20" t="s">
        <v>820</v>
      </c>
      <c r="H651" s="20" t="s">
        <v>823</v>
      </c>
      <c r="I651" s="20" t="s">
        <v>822</v>
      </c>
      <c r="J651" s="21">
        <f t="shared" ca="1" si="20"/>
        <v>1136</v>
      </c>
      <c r="K651" s="20" t="str">
        <f t="shared" ca="1" si="21"/>
        <v>Overdue</v>
      </c>
    </row>
    <row r="652" spans="1:11" x14ac:dyDescent="0.3">
      <c r="A652" s="18" t="s">
        <v>659</v>
      </c>
      <c r="B652" s="18" t="s">
        <v>811</v>
      </c>
      <c r="C652" s="19">
        <v>45609</v>
      </c>
      <c r="D652" s="19">
        <v>45639</v>
      </c>
      <c r="E652" s="17">
        <v>332.35</v>
      </c>
      <c r="F652" s="20" t="s">
        <v>818</v>
      </c>
      <c r="G652" s="20" t="s">
        <v>820</v>
      </c>
      <c r="H652" s="20" t="s">
        <v>823</v>
      </c>
      <c r="I652" s="20" t="s">
        <v>822</v>
      </c>
      <c r="J652" s="21">
        <f t="shared" ca="1" si="20"/>
        <v>556</v>
      </c>
      <c r="K652" s="20" t="str">
        <f t="shared" ca="1" si="21"/>
        <v>Overdue</v>
      </c>
    </row>
    <row r="653" spans="1:11" x14ac:dyDescent="0.3">
      <c r="A653" s="18" t="s">
        <v>660</v>
      </c>
      <c r="B653" s="18" t="s">
        <v>809</v>
      </c>
      <c r="C653" s="19">
        <v>45475</v>
      </c>
      <c r="D653" s="19">
        <v>45505</v>
      </c>
      <c r="E653" s="17">
        <v>4746.3999999999996</v>
      </c>
      <c r="F653" s="20" t="s">
        <v>817</v>
      </c>
      <c r="G653" s="20" t="s">
        <v>821</v>
      </c>
      <c r="H653" s="22">
        <v>45505</v>
      </c>
      <c r="I653" s="20" t="s">
        <v>822</v>
      </c>
      <c r="J653" s="21">
        <f t="shared" ca="1" si="20"/>
        <v>690</v>
      </c>
      <c r="K653" s="20" t="str">
        <f t="shared" ca="1" si="21"/>
        <v>OK</v>
      </c>
    </row>
    <row r="654" spans="1:11" x14ac:dyDescent="0.3">
      <c r="A654" s="18" t="s">
        <v>661</v>
      </c>
      <c r="B654" s="18" t="s">
        <v>811</v>
      </c>
      <c r="C654" s="19">
        <v>45113</v>
      </c>
      <c r="D654" s="19">
        <v>45143</v>
      </c>
      <c r="E654" s="17">
        <v>4124.6000000000004</v>
      </c>
      <c r="F654" s="20" t="s">
        <v>816</v>
      </c>
      <c r="G654" s="20" t="s">
        <v>819</v>
      </c>
      <c r="H654" s="20" t="s">
        <v>823</v>
      </c>
      <c r="I654" s="20" t="s">
        <v>822</v>
      </c>
      <c r="J654" s="21">
        <f t="shared" ca="1" si="20"/>
        <v>1052</v>
      </c>
      <c r="K654" s="20" t="str">
        <f t="shared" ca="1" si="21"/>
        <v>Overdue</v>
      </c>
    </row>
    <row r="655" spans="1:11" x14ac:dyDescent="0.3">
      <c r="A655" s="18" t="s">
        <v>662</v>
      </c>
      <c r="B655" s="18" t="s">
        <v>813</v>
      </c>
      <c r="C655" s="19">
        <v>45083</v>
      </c>
      <c r="D655" s="19">
        <v>45113</v>
      </c>
      <c r="E655" s="17">
        <v>1630.69</v>
      </c>
      <c r="F655" s="20" t="s">
        <v>816</v>
      </c>
      <c r="G655" s="20" t="s">
        <v>821</v>
      </c>
      <c r="H655" s="22">
        <v>45113</v>
      </c>
      <c r="I655" s="20" t="s">
        <v>822</v>
      </c>
      <c r="J655" s="21">
        <f t="shared" ca="1" si="20"/>
        <v>1082</v>
      </c>
      <c r="K655" s="20" t="str">
        <f t="shared" ca="1" si="21"/>
        <v>OK</v>
      </c>
    </row>
    <row r="656" spans="1:11" x14ac:dyDescent="0.3">
      <c r="A656" s="18" t="s">
        <v>663</v>
      </c>
      <c r="B656" s="18" t="s">
        <v>812</v>
      </c>
      <c r="C656" s="19">
        <v>45549</v>
      </c>
      <c r="D656" s="19">
        <v>45579</v>
      </c>
      <c r="E656" s="17">
        <v>4643.99</v>
      </c>
      <c r="F656" s="20" t="s">
        <v>816</v>
      </c>
      <c r="G656" s="20" t="s">
        <v>820</v>
      </c>
      <c r="H656" s="20" t="s">
        <v>823</v>
      </c>
      <c r="I656" s="20" t="s">
        <v>822</v>
      </c>
      <c r="J656" s="21">
        <f t="shared" ca="1" si="20"/>
        <v>616</v>
      </c>
      <c r="K656" s="20" t="str">
        <f t="shared" ca="1" si="21"/>
        <v>Overdue</v>
      </c>
    </row>
    <row r="657" spans="1:11" x14ac:dyDescent="0.3">
      <c r="A657" s="18" t="s">
        <v>664</v>
      </c>
      <c r="B657" s="18" t="s">
        <v>810</v>
      </c>
      <c r="C657" s="19">
        <v>45198</v>
      </c>
      <c r="D657" s="19">
        <v>45228</v>
      </c>
      <c r="E657" s="17">
        <v>121.66</v>
      </c>
      <c r="F657" s="20" t="s">
        <v>815</v>
      </c>
      <c r="G657" s="20" t="s">
        <v>819</v>
      </c>
      <c r="H657" s="20" t="s">
        <v>823</v>
      </c>
      <c r="I657" s="20" t="s">
        <v>822</v>
      </c>
      <c r="J657" s="21">
        <f t="shared" ca="1" si="20"/>
        <v>967</v>
      </c>
      <c r="K657" s="20" t="str">
        <f t="shared" ca="1" si="21"/>
        <v>Overdue</v>
      </c>
    </row>
    <row r="658" spans="1:11" x14ac:dyDescent="0.3">
      <c r="A658" s="18" t="s">
        <v>665</v>
      </c>
      <c r="B658" s="18" t="s">
        <v>811</v>
      </c>
      <c r="C658" s="19">
        <v>45111</v>
      </c>
      <c r="D658" s="19">
        <v>45141</v>
      </c>
      <c r="E658" s="17">
        <v>2464.2399999999998</v>
      </c>
      <c r="F658" s="20" t="s">
        <v>817</v>
      </c>
      <c r="G658" s="20" t="s">
        <v>820</v>
      </c>
      <c r="H658" s="20" t="s">
        <v>823</v>
      </c>
      <c r="I658" s="20" t="s">
        <v>822</v>
      </c>
      <c r="J658" s="21">
        <f t="shared" ca="1" si="20"/>
        <v>1054</v>
      </c>
      <c r="K658" s="20" t="str">
        <f t="shared" ca="1" si="21"/>
        <v>Overdue</v>
      </c>
    </row>
    <row r="659" spans="1:11" x14ac:dyDescent="0.3">
      <c r="A659" s="18" t="s">
        <v>666</v>
      </c>
      <c r="B659" s="18" t="s">
        <v>813</v>
      </c>
      <c r="C659" s="19">
        <v>45271</v>
      </c>
      <c r="D659" s="19">
        <v>45301</v>
      </c>
      <c r="E659" s="17">
        <v>4354.51</v>
      </c>
      <c r="F659" s="20" t="s">
        <v>816</v>
      </c>
      <c r="G659" s="20" t="s">
        <v>820</v>
      </c>
      <c r="H659" s="20" t="s">
        <v>823</v>
      </c>
      <c r="I659" s="20" t="s">
        <v>822</v>
      </c>
      <c r="J659" s="21">
        <f t="shared" ca="1" si="20"/>
        <v>894</v>
      </c>
      <c r="K659" s="20" t="str">
        <f t="shared" ca="1" si="21"/>
        <v>Overdue</v>
      </c>
    </row>
    <row r="660" spans="1:11" x14ac:dyDescent="0.3">
      <c r="A660" s="18" t="s">
        <v>667</v>
      </c>
      <c r="B660" s="18" t="s">
        <v>813</v>
      </c>
      <c r="C660" s="19">
        <v>45273</v>
      </c>
      <c r="D660" s="19">
        <v>45303</v>
      </c>
      <c r="E660" s="17">
        <v>1809.68</v>
      </c>
      <c r="F660" s="20" t="s">
        <v>817</v>
      </c>
      <c r="G660" s="20" t="s">
        <v>820</v>
      </c>
      <c r="H660" s="20" t="s">
        <v>823</v>
      </c>
      <c r="I660" s="20" t="s">
        <v>822</v>
      </c>
      <c r="J660" s="21">
        <f t="shared" ca="1" si="20"/>
        <v>892</v>
      </c>
      <c r="K660" s="20" t="str">
        <f t="shared" ca="1" si="21"/>
        <v>Overdue</v>
      </c>
    </row>
    <row r="661" spans="1:11" x14ac:dyDescent="0.3">
      <c r="A661" s="18" t="s">
        <v>668</v>
      </c>
      <c r="B661" s="18" t="s">
        <v>813</v>
      </c>
      <c r="C661" s="19">
        <v>45588</v>
      </c>
      <c r="D661" s="19">
        <v>45618</v>
      </c>
      <c r="E661" s="17">
        <v>4448.67</v>
      </c>
      <c r="F661" s="20" t="s">
        <v>817</v>
      </c>
      <c r="G661" s="20" t="s">
        <v>819</v>
      </c>
      <c r="H661" s="20" t="s">
        <v>823</v>
      </c>
      <c r="I661" s="20" t="s">
        <v>822</v>
      </c>
      <c r="J661" s="21">
        <f t="shared" ca="1" si="20"/>
        <v>577</v>
      </c>
      <c r="K661" s="20" t="str">
        <f t="shared" ca="1" si="21"/>
        <v>Overdue</v>
      </c>
    </row>
    <row r="662" spans="1:11" x14ac:dyDescent="0.3">
      <c r="A662" s="18" t="s">
        <v>669</v>
      </c>
      <c r="B662" s="18" t="s">
        <v>810</v>
      </c>
      <c r="C662" s="19">
        <v>45810</v>
      </c>
      <c r="D662" s="19">
        <v>45840</v>
      </c>
      <c r="E662" s="17">
        <v>3810.59</v>
      </c>
      <c r="F662" s="20" t="s">
        <v>815</v>
      </c>
      <c r="G662" s="20" t="s">
        <v>821</v>
      </c>
      <c r="H662" s="22">
        <v>45840</v>
      </c>
      <c r="I662" s="20" t="s">
        <v>822</v>
      </c>
      <c r="J662" s="21">
        <f t="shared" ca="1" si="20"/>
        <v>355</v>
      </c>
      <c r="K662" s="20" t="str">
        <f t="shared" ca="1" si="21"/>
        <v>OK</v>
      </c>
    </row>
    <row r="663" spans="1:11" x14ac:dyDescent="0.3">
      <c r="A663" s="18" t="s">
        <v>670</v>
      </c>
      <c r="B663" s="18" t="s">
        <v>813</v>
      </c>
      <c r="C663" s="19">
        <v>45433</v>
      </c>
      <c r="D663" s="19">
        <v>45463</v>
      </c>
      <c r="E663" s="17">
        <v>4234.42</v>
      </c>
      <c r="F663" s="20" t="s">
        <v>818</v>
      </c>
      <c r="G663" s="20" t="s">
        <v>819</v>
      </c>
      <c r="H663" s="20" t="s">
        <v>823</v>
      </c>
      <c r="I663" s="20" t="s">
        <v>822</v>
      </c>
      <c r="J663" s="21">
        <f t="shared" ca="1" si="20"/>
        <v>732</v>
      </c>
      <c r="K663" s="20" t="str">
        <f t="shared" ca="1" si="21"/>
        <v>Overdue</v>
      </c>
    </row>
    <row r="664" spans="1:11" x14ac:dyDescent="0.3">
      <c r="A664" s="18" t="s">
        <v>671</v>
      </c>
      <c r="B664" s="18" t="s">
        <v>809</v>
      </c>
      <c r="C664" s="19">
        <v>45321</v>
      </c>
      <c r="D664" s="19">
        <v>45351</v>
      </c>
      <c r="E664" s="17">
        <v>2754.86</v>
      </c>
      <c r="F664" s="20" t="s">
        <v>816</v>
      </c>
      <c r="G664" s="20" t="s">
        <v>820</v>
      </c>
      <c r="H664" s="20" t="s">
        <v>823</v>
      </c>
      <c r="I664" s="20" t="s">
        <v>822</v>
      </c>
      <c r="J664" s="21">
        <f t="shared" ca="1" si="20"/>
        <v>844</v>
      </c>
      <c r="K664" s="20" t="str">
        <f t="shared" ca="1" si="21"/>
        <v>Overdue</v>
      </c>
    </row>
    <row r="665" spans="1:11" x14ac:dyDescent="0.3">
      <c r="A665" s="18" t="s">
        <v>672</v>
      </c>
      <c r="B665" s="18" t="s">
        <v>813</v>
      </c>
      <c r="C665" s="19">
        <v>45711</v>
      </c>
      <c r="D665" s="19">
        <v>45741</v>
      </c>
      <c r="E665" s="17">
        <v>3198.07</v>
      </c>
      <c r="F665" s="20" t="s">
        <v>816</v>
      </c>
      <c r="G665" s="20" t="s">
        <v>820</v>
      </c>
      <c r="H665" s="20" t="s">
        <v>823</v>
      </c>
      <c r="I665" s="20" t="s">
        <v>822</v>
      </c>
      <c r="J665" s="21">
        <f t="shared" ca="1" si="20"/>
        <v>454</v>
      </c>
      <c r="K665" s="20" t="str">
        <f t="shared" ca="1" si="21"/>
        <v>Overdue</v>
      </c>
    </row>
    <row r="666" spans="1:11" x14ac:dyDescent="0.3">
      <c r="A666" s="18" t="s">
        <v>673</v>
      </c>
      <c r="B666" s="18" t="s">
        <v>809</v>
      </c>
      <c r="C666" s="19">
        <v>45201</v>
      </c>
      <c r="D666" s="19">
        <v>45231</v>
      </c>
      <c r="E666" s="17">
        <v>3984.98</v>
      </c>
      <c r="F666" s="20" t="s">
        <v>814</v>
      </c>
      <c r="G666" s="20" t="s">
        <v>820</v>
      </c>
      <c r="H666" s="20" t="s">
        <v>823</v>
      </c>
      <c r="I666" s="20" t="s">
        <v>822</v>
      </c>
      <c r="J666" s="21">
        <f t="shared" ca="1" si="20"/>
        <v>964</v>
      </c>
      <c r="K666" s="20" t="str">
        <f t="shared" ca="1" si="21"/>
        <v>Overdue</v>
      </c>
    </row>
    <row r="667" spans="1:11" x14ac:dyDescent="0.3">
      <c r="A667" s="18" t="s">
        <v>674</v>
      </c>
      <c r="B667" s="18" t="s">
        <v>812</v>
      </c>
      <c r="C667" s="19">
        <v>45096</v>
      </c>
      <c r="D667" s="19">
        <v>45126</v>
      </c>
      <c r="E667" s="17">
        <v>4810.12</v>
      </c>
      <c r="F667" s="20" t="s">
        <v>817</v>
      </c>
      <c r="G667" s="20" t="s">
        <v>819</v>
      </c>
      <c r="H667" s="20" t="s">
        <v>823</v>
      </c>
      <c r="I667" s="20" t="s">
        <v>822</v>
      </c>
      <c r="J667" s="21">
        <f t="shared" ca="1" si="20"/>
        <v>1069</v>
      </c>
      <c r="K667" s="20" t="str">
        <f t="shared" ca="1" si="21"/>
        <v>Overdue</v>
      </c>
    </row>
    <row r="668" spans="1:11" x14ac:dyDescent="0.3">
      <c r="A668" s="18" t="s">
        <v>675</v>
      </c>
      <c r="B668" s="18" t="s">
        <v>811</v>
      </c>
      <c r="C668" s="19">
        <v>45311</v>
      </c>
      <c r="D668" s="19">
        <v>45341</v>
      </c>
      <c r="E668" s="17">
        <v>4712.91</v>
      </c>
      <c r="F668" s="20" t="s">
        <v>814</v>
      </c>
      <c r="G668" s="20" t="s">
        <v>819</v>
      </c>
      <c r="H668" s="20" t="s">
        <v>823</v>
      </c>
      <c r="I668" s="20" t="s">
        <v>822</v>
      </c>
      <c r="J668" s="21">
        <f t="shared" ca="1" si="20"/>
        <v>854</v>
      </c>
      <c r="K668" s="20" t="str">
        <f t="shared" ca="1" si="21"/>
        <v>Overdue</v>
      </c>
    </row>
    <row r="669" spans="1:11" x14ac:dyDescent="0.3">
      <c r="A669" s="18" t="s">
        <v>676</v>
      </c>
      <c r="B669" s="18" t="s">
        <v>809</v>
      </c>
      <c r="C669" s="19">
        <v>45692</v>
      </c>
      <c r="D669" s="19">
        <v>45722</v>
      </c>
      <c r="E669" s="17">
        <v>4624.82</v>
      </c>
      <c r="F669" s="20" t="s">
        <v>818</v>
      </c>
      <c r="G669" s="20" t="s">
        <v>821</v>
      </c>
      <c r="H669" s="22">
        <v>45722</v>
      </c>
      <c r="I669" s="20" t="s">
        <v>822</v>
      </c>
      <c r="J669" s="21">
        <f t="shared" ca="1" si="20"/>
        <v>473</v>
      </c>
      <c r="K669" s="20" t="str">
        <f t="shared" ca="1" si="21"/>
        <v>OK</v>
      </c>
    </row>
    <row r="670" spans="1:11" x14ac:dyDescent="0.3">
      <c r="A670" s="18" t="s">
        <v>677</v>
      </c>
      <c r="B670" s="18" t="s">
        <v>813</v>
      </c>
      <c r="C670" s="19">
        <v>45522</v>
      </c>
      <c r="D670" s="19">
        <v>45552</v>
      </c>
      <c r="E670" s="17">
        <v>3779.89</v>
      </c>
      <c r="F670" s="20" t="s">
        <v>815</v>
      </c>
      <c r="G670" s="20" t="s">
        <v>819</v>
      </c>
      <c r="H670" s="20" t="s">
        <v>823</v>
      </c>
      <c r="I670" s="20" t="s">
        <v>822</v>
      </c>
      <c r="J670" s="21">
        <f t="shared" ca="1" si="20"/>
        <v>643</v>
      </c>
      <c r="K670" s="20" t="str">
        <f t="shared" ca="1" si="21"/>
        <v>Overdue</v>
      </c>
    </row>
    <row r="671" spans="1:11" x14ac:dyDescent="0.3">
      <c r="A671" s="18" t="s">
        <v>678</v>
      </c>
      <c r="B671" s="18" t="s">
        <v>812</v>
      </c>
      <c r="C671" s="19">
        <v>45118</v>
      </c>
      <c r="D671" s="19">
        <v>45148</v>
      </c>
      <c r="E671" s="17">
        <v>528.42999999999995</v>
      </c>
      <c r="F671" s="20" t="s">
        <v>816</v>
      </c>
      <c r="G671" s="20" t="s">
        <v>820</v>
      </c>
      <c r="H671" s="20" t="s">
        <v>823</v>
      </c>
      <c r="I671" s="20" t="s">
        <v>822</v>
      </c>
      <c r="J671" s="21">
        <f t="shared" ca="1" si="20"/>
        <v>1047</v>
      </c>
      <c r="K671" s="20" t="str">
        <f t="shared" ca="1" si="21"/>
        <v>Overdue</v>
      </c>
    </row>
    <row r="672" spans="1:11" x14ac:dyDescent="0.3">
      <c r="A672" s="18" t="s">
        <v>679</v>
      </c>
      <c r="B672" s="18" t="s">
        <v>811</v>
      </c>
      <c r="C672" s="19">
        <v>45305</v>
      </c>
      <c r="D672" s="19">
        <v>45335</v>
      </c>
      <c r="E672" s="17">
        <v>3542.71</v>
      </c>
      <c r="F672" s="20" t="s">
        <v>818</v>
      </c>
      <c r="G672" s="20" t="s">
        <v>821</v>
      </c>
      <c r="H672" s="22">
        <v>45335</v>
      </c>
      <c r="I672" s="20" t="s">
        <v>822</v>
      </c>
      <c r="J672" s="21">
        <f t="shared" ca="1" si="20"/>
        <v>860</v>
      </c>
      <c r="K672" s="20" t="str">
        <f t="shared" ca="1" si="21"/>
        <v>OK</v>
      </c>
    </row>
    <row r="673" spans="1:11" x14ac:dyDescent="0.3">
      <c r="A673" s="18" t="s">
        <v>680</v>
      </c>
      <c r="B673" s="18" t="s">
        <v>811</v>
      </c>
      <c r="C673" s="19">
        <v>45824</v>
      </c>
      <c r="D673" s="19">
        <v>45854</v>
      </c>
      <c r="E673" s="17">
        <v>1625.04</v>
      </c>
      <c r="F673" s="20" t="s">
        <v>816</v>
      </c>
      <c r="G673" s="20" t="s">
        <v>821</v>
      </c>
      <c r="H673" s="22">
        <v>45854</v>
      </c>
      <c r="I673" s="20" t="s">
        <v>822</v>
      </c>
      <c r="J673" s="21">
        <f t="shared" ca="1" si="20"/>
        <v>341</v>
      </c>
      <c r="K673" s="20" t="str">
        <f t="shared" ca="1" si="21"/>
        <v>OK</v>
      </c>
    </row>
    <row r="674" spans="1:11" x14ac:dyDescent="0.3">
      <c r="A674" s="18" t="s">
        <v>681</v>
      </c>
      <c r="B674" s="18" t="s">
        <v>810</v>
      </c>
      <c r="C674" s="19">
        <v>45213</v>
      </c>
      <c r="D674" s="19">
        <v>45243</v>
      </c>
      <c r="E674" s="17">
        <v>3513.91</v>
      </c>
      <c r="F674" s="20" t="s">
        <v>818</v>
      </c>
      <c r="G674" s="20" t="s">
        <v>820</v>
      </c>
      <c r="H674" s="20" t="s">
        <v>823</v>
      </c>
      <c r="I674" s="20" t="s">
        <v>822</v>
      </c>
      <c r="J674" s="21">
        <f t="shared" ca="1" si="20"/>
        <v>952</v>
      </c>
      <c r="K674" s="20" t="str">
        <f t="shared" ca="1" si="21"/>
        <v>Overdue</v>
      </c>
    </row>
    <row r="675" spans="1:11" x14ac:dyDescent="0.3">
      <c r="A675" s="18" t="s">
        <v>682</v>
      </c>
      <c r="B675" s="18" t="s">
        <v>813</v>
      </c>
      <c r="C675" s="19">
        <v>45079</v>
      </c>
      <c r="D675" s="19">
        <v>45109</v>
      </c>
      <c r="E675" s="17">
        <v>1005.78</v>
      </c>
      <c r="F675" s="20" t="s">
        <v>816</v>
      </c>
      <c r="G675" s="20" t="s">
        <v>821</v>
      </c>
      <c r="H675" s="22">
        <v>45109</v>
      </c>
      <c r="I675" s="20" t="s">
        <v>822</v>
      </c>
      <c r="J675" s="21">
        <f t="shared" ca="1" si="20"/>
        <v>1086</v>
      </c>
      <c r="K675" s="20" t="str">
        <f t="shared" ca="1" si="21"/>
        <v>OK</v>
      </c>
    </row>
    <row r="676" spans="1:11" x14ac:dyDescent="0.3">
      <c r="A676" s="18" t="s">
        <v>683</v>
      </c>
      <c r="B676" s="18" t="s">
        <v>813</v>
      </c>
      <c r="C676" s="19">
        <v>45821</v>
      </c>
      <c r="D676" s="19">
        <v>45851</v>
      </c>
      <c r="E676" s="17">
        <v>4800.13</v>
      </c>
      <c r="F676" s="20" t="s">
        <v>818</v>
      </c>
      <c r="G676" s="20" t="s">
        <v>820</v>
      </c>
      <c r="H676" s="20" t="s">
        <v>823</v>
      </c>
      <c r="I676" s="20" t="s">
        <v>822</v>
      </c>
      <c r="J676" s="21">
        <f t="shared" ca="1" si="20"/>
        <v>344</v>
      </c>
      <c r="K676" s="20" t="str">
        <f t="shared" ca="1" si="21"/>
        <v>Overdue</v>
      </c>
    </row>
    <row r="677" spans="1:11" x14ac:dyDescent="0.3">
      <c r="A677" s="18" t="s">
        <v>684</v>
      </c>
      <c r="B677" s="18" t="s">
        <v>811</v>
      </c>
      <c r="C677" s="19">
        <v>45760</v>
      </c>
      <c r="D677" s="19">
        <v>45790</v>
      </c>
      <c r="E677" s="17">
        <v>2790.67</v>
      </c>
      <c r="F677" s="20" t="s">
        <v>818</v>
      </c>
      <c r="G677" s="20" t="s">
        <v>820</v>
      </c>
      <c r="H677" s="20" t="s">
        <v>823</v>
      </c>
      <c r="I677" s="20" t="s">
        <v>822</v>
      </c>
      <c r="J677" s="21">
        <f t="shared" ca="1" si="20"/>
        <v>405</v>
      </c>
      <c r="K677" s="20" t="str">
        <f t="shared" ca="1" si="21"/>
        <v>Overdue</v>
      </c>
    </row>
    <row r="678" spans="1:11" x14ac:dyDescent="0.3">
      <c r="A678" s="18" t="s">
        <v>685</v>
      </c>
      <c r="B678" s="18" t="s">
        <v>813</v>
      </c>
      <c r="C678" s="19">
        <v>44988</v>
      </c>
      <c r="D678" s="19">
        <v>45018</v>
      </c>
      <c r="E678" s="17">
        <v>3677.45</v>
      </c>
      <c r="F678" s="20" t="s">
        <v>816</v>
      </c>
      <c r="G678" s="20" t="s">
        <v>819</v>
      </c>
      <c r="H678" s="20" t="s">
        <v>823</v>
      </c>
      <c r="I678" s="20" t="s">
        <v>822</v>
      </c>
      <c r="J678" s="21">
        <f t="shared" ca="1" si="20"/>
        <v>1177</v>
      </c>
      <c r="K678" s="20" t="str">
        <f t="shared" ca="1" si="21"/>
        <v>Overdue</v>
      </c>
    </row>
    <row r="679" spans="1:11" x14ac:dyDescent="0.3">
      <c r="A679" s="18" t="s">
        <v>686</v>
      </c>
      <c r="B679" s="18" t="s">
        <v>810</v>
      </c>
      <c r="C679" s="19">
        <v>44955</v>
      </c>
      <c r="D679" s="19">
        <v>44985</v>
      </c>
      <c r="E679" s="17">
        <v>2795.97</v>
      </c>
      <c r="F679" s="20" t="s">
        <v>818</v>
      </c>
      <c r="G679" s="20" t="s">
        <v>820</v>
      </c>
      <c r="H679" s="20" t="s">
        <v>823</v>
      </c>
      <c r="I679" s="20" t="s">
        <v>822</v>
      </c>
      <c r="J679" s="21">
        <f t="shared" ca="1" si="20"/>
        <v>1210</v>
      </c>
      <c r="K679" s="20" t="str">
        <f t="shared" ca="1" si="21"/>
        <v>Overdue</v>
      </c>
    </row>
    <row r="680" spans="1:11" x14ac:dyDescent="0.3">
      <c r="A680" s="18" t="s">
        <v>687</v>
      </c>
      <c r="B680" s="18" t="s">
        <v>810</v>
      </c>
      <c r="C680" s="19">
        <v>45152</v>
      </c>
      <c r="D680" s="19">
        <v>45182</v>
      </c>
      <c r="E680" s="17">
        <v>3609.91</v>
      </c>
      <c r="F680" s="20" t="s">
        <v>814</v>
      </c>
      <c r="G680" s="20" t="s">
        <v>819</v>
      </c>
      <c r="H680" s="20" t="s">
        <v>823</v>
      </c>
      <c r="I680" s="20" t="s">
        <v>822</v>
      </c>
      <c r="J680" s="21">
        <f t="shared" ca="1" si="20"/>
        <v>1013</v>
      </c>
      <c r="K680" s="20" t="str">
        <f t="shared" ca="1" si="21"/>
        <v>Overdue</v>
      </c>
    </row>
    <row r="681" spans="1:11" x14ac:dyDescent="0.3">
      <c r="A681" s="18" t="s">
        <v>688</v>
      </c>
      <c r="B681" s="18" t="s">
        <v>811</v>
      </c>
      <c r="C681" s="19">
        <v>45467</v>
      </c>
      <c r="D681" s="19">
        <v>45497</v>
      </c>
      <c r="E681" s="17">
        <v>415.41</v>
      </c>
      <c r="F681" s="20" t="s">
        <v>815</v>
      </c>
      <c r="G681" s="20" t="s">
        <v>819</v>
      </c>
      <c r="H681" s="20" t="s">
        <v>823</v>
      </c>
      <c r="I681" s="20" t="s">
        <v>822</v>
      </c>
      <c r="J681" s="21">
        <f t="shared" ca="1" si="20"/>
        <v>698</v>
      </c>
      <c r="K681" s="20" t="str">
        <f t="shared" ca="1" si="21"/>
        <v>Overdue</v>
      </c>
    </row>
    <row r="682" spans="1:11" x14ac:dyDescent="0.3">
      <c r="A682" s="18" t="s">
        <v>689</v>
      </c>
      <c r="B682" s="18" t="s">
        <v>809</v>
      </c>
      <c r="C682" s="19">
        <v>45441</v>
      </c>
      <c r="D682" s="19">
        <v>45471</v>
      </c>
      <c r="E682" s="17">
        <v>3262.02</v>
      </c>
      <c r="F682" s="20" t="s">
        <v>814</v>
      </c>
      <c r="G682" s="20" t="s">
        <v>820</v>
      </c>
      <c r="H682" s="20" t="s">
        <v>823</v>
      </c>
      <c r="I682" s="20" t="s">
        <v>822</v>
      </c>
      <c r="J682" s="21">
        <f t="shared" ca="1" si="20"/>
        <v>724</v>
      </c>
      <c r="K682" s="20" t="str">
        <f t="shared" ca="1" si="21"/>
        <v>Overdue</v>
      </c>
    </row>
    <row r="683" spans="1:11" x14ac:dyDescent="0.3">
      <c r="A683" s="18" t="s">
        <v>690</v>
      </c>
      <c r="B683" s="18" t="s">
        <v>810</v>
      </c>
      <c r="C683" s="19">
        <v>45514</v>
      </c>
      <c r="D683" s="19">
        <v>45544</v>
      </c>
      <c r="E683" s="17">
        <v>386.52</v>
      </c>
      <c r="F683" s="20" t="s">
        <v>814</v>
      </c>
      <c r="G683" s="20" t="s">
        <v>819</v>
      </c>
      <c r="H683" s="20" t="s">
        <v>823</v>
      </c>
      <c r="I683" s="20" t="s">
        <v>822</v>
      </c>
      <c r="J683" s="21">
        <f t="shared" ca="1" si="20"/>
        <v>651</v>
      </c>
      <c r="K683" s="20" t="str">
        <f t="shared" ca="1" si="21"/>
        <v>Overdue</v>
      </c>
    </row>
    <row r="684" spans="1:11" x14ac:dyDescent="0.3">
      <c r="A684" s="18" t="s">
        <v>691</v>
      </c>
      <c r="B684" s="18" t="s">
        <v>813</v>
      </c>
      <c r="C684" s="19">
        <v>45150</v>
      </c>
      <c r="D684" s="19">
        <v>45180</v>
      </c>
      <c r="E684" s="17">
        <v>3339.93</v>
      </c>
      <c r="F684" s="20" t="s">
        <v>816</v>
      </c>
      <c r="G684" s="20" t="s">
        <v>820</v>
      </c>
      <c r="H684" s="20" t="s">
        <v>823</v>
      </c>
      <c r="I684" s="20" t="s">
        <v>822</v>
      </c>
      <c r="J684" s="21">
        <f t="shared" ca="1" si="20"/>
        <v>1015</v>
      </c>
      <c r="K684" s="20" t="str">
        <f t="shared" ca="1" si="21"/>
        <v>Overdue</v>
      </c>
    </row>
    <row r="685" spans="1:11" x14ac:dyDescent="0.3">
      <c r="A685" s="18" t="s">
        <v>692</v>
      </c>
      <c r="B685" s="18" t="s">
        <v>811</v>
      </c>
      <c r="C685" s="19">
        <v>45065</v>
      </c>
      <c r="D685" s="19">
        <v>45095</v>
      </c>
      <c r="E685" s="17">
        <v>4195.2</v>
      </c>
      <c r="F685" s="20" t="s">
        <v>814</v>
      </c>
      <c r="G685" s="20" t="s">
        <v>820</v>
      </c>
      <c r="H685" s="20" t="s">
        <v>823</v>
      </c>
      <c r="I685" s="20" t="s">
        <v>822</v>
      </c>
      <c r="J685" s="21">
        <f t="shared" ca="1" si="20"/>
        <v>1100</v>
      </c>
      <c r="K685" s="20" t="str">
        <f t="shared" ca="1" si="21"/>
        <v>Overdue</v>
      </c>
    </row>
    <row r="686" spans="1:11" x14ac:dyDescent="0.3">
      <c r="A686" s="18" t="s">
        <v>693</v>
      </c>
      <c r="B686" s="18" t="s">
        <v>811</v>
      </c>
      <c r="C686" s="19">
        <v>45065</v>
      </c>
      <c r="D686" s="19">
        <v>45095</v>
      </c>
      <c r="E686" s="17">
        <v>2911.89</v>
      </c>
      <c r="F686" s="20" t="s">
        <v>814</v>
      </c>
      <c r="G686" s="20" t="s">
        <v>819</v>
      </c>
      <c r="H686" s="20" t="s">
        <v>823</v>
      </c>
      <c r="I686" s="20" t="s">
        <v>822</v>
      </c>
      <c r="J686" s="21">
        <f t="shared" ca="1" si="20"/>
        <v>1100</v>
      </c>
      <c r="K686" s="20" t="str">
        <f t="shared" ca="1" si="21"/>
        <v>Overdue</v>
      </c>
    </row>
    <row r="687" spans="1:11" x14ac:dyDescent="0.3">
      <c r="A687" s="18" t="s">
        <v>694</v>
      </c>
      <c r="B687" s="18" t="s">
        <v>813</v>
      </c>
      <c r="C687" s="19">
        <v>45746</v>
      </c>
      <c r="D687" s="19">
        <v>45776</v>
      </c>
      <c r="E687" s="17">
        <v>1595.21</v>
      </c>
      <c r="F687" s="20" t="s">
        <v>815</v>
      </c>
      <c r="G687" s="20" t="s">
        <v>819</v>
      </c>
      <c r="H687" s="20" t="s">
        <v>823</v>
      </c>
      <c r="I687" s="20" t="s">
        <v>822</v>
      </c>
      <c r="J687" s="21">
        <f t="shared" ca="1" si="20"/>
        <v>419</v>
      </c>
      <c r="K687" s="20" t="str">
        <f t="shared" ca="1" si="21"/>
        <v>Overdue</v>
      </c>
    </row>
    <row r="688" spans="1:11" x14ac:dyDescent="0.3">
      <c r="A688" s="18" t="s">
        <v>695</v>
      </c>
      <c r="B688" s="18" t="s">
        <v>811</v>
      </c>
      <c r="C688" s="19">
        <v>45023</v>
      </c>
      <c r="D688" s="19">
        <v>45053</v>
      </c>
      <c r="E688" s="17">
        <v>2246.04</v>
      </c>
      <c r="F688" s="20" t="s">
        <v>814</v>
      </c>
      <c r="G688" s="20" t="s">
        <v>819</v>
      </c>
      <c r="H688" s="20" t="s">
        <v>823</v>
      </c>
      <c r="I688" s="20" t="s">
        <v>822</v>
      </c>
      <c r="J688" s="21">
        <f t="shared" ca="1" si="20"/>
        <v>1142</v>
      </c>
      <c r="K688" s="20" t="str">
        <f t="shared" ca="1" si="21"/>
        <v>Overdue</v>
      </c>
    </row>
    <row r="689" spans="1:11" x14ac:dyDescent="0.3">
      <c r="A689" s="18" t="s">
        <v>696</v>
      </c>
      <c r="B689" s="18" t="s">
        <v>813</v>
      </c>
      <c r="C689" s="19">
        <v>45292</v>
      </c>
      <c r="D689" s="19">
        <v>45322</v>
      </c>
      <c r="E689" s="17">
        <v>560.41999999999996</v>
      </c>
      <c r="F689" s="20" t="s">
        <v>814</v>
      </c>
      <c r="G689" s="20" t="s">
        <v>821</v>
      </c>
      <c r="H689" s="22">
        <v>45322</v>
      </c>
      <c r="I689" s="20" t="s">
        <v>822</v>
      </c>
      <c r="J689" s="21">
        <f t="shared" ca="1" si="20"/>
        <v>873</v>
      </c>
      <c r="K689" s="20" t="str">
        <f t="shared" ca="1" si="21"/>
        <v>OK</v>
      </c>
    </row>
    <row r="690" spans="1:11" x14ac:dyDescent="0.3">
      <c r="A690" s="18" t="s">
        <v>697</v>
      </c>
      <c r="B690" s="18" t="s">
        <v>812</v>
      </c>
      <c r="C690" s="19">
        <v>45259</v>
      </c>
      <c r="D690" s="19">
        <v>45289</v>
      </c>
      <c r="E690" s="17">
        <v>1796.7</v>
      </c>
      <c r="F690" s="20" t="s">
        <v>814</v>
      </c>
      <c r="G690" s="20" t="s">
        <v>819</v>
      </c>
      <c r="H690" s="20" t="s">
        <v>823</v>
      </c>
      <c r="I690" s="20" t="s">
        <v>822</v>
      </c>
      <c r="J690" s="21">
        <f t="shared" ca="1" si="20"/>
        <v>906</v>
      </c>
      <c r="K690" s="20" t="str">
        <f t="shared" ca="1" si="21"/>
        <v>Overdue</v>
      </c>
    </row>
    <row r="691" spans="1:11" x14ac:dyDescent="0.3">
      <c r="A691" s="18" t="s">
        <v>698</v>
      </c>
      <c r="B691" s="18" t="s">
        <v>810</v>
      </c>
      <c r="C691" s="19">
        <v>45444</v>
      </c>
      <c r="D691" s="19">
        <v>45474</v>
      </c>
      <c r="E691" s="17">
        <v>1049.54</v>
      </c>
      <c r="F691" s="20" t="s">
        <v>814</v>
      </c>
      <c r="G691" s="20" t="s">
        <v>820</v>
      </c>
      <c r="H691" s="20" t="s">
        <v>823</v>
      </c>
      <c r="I691" s="20" t="s">
        <v>822</v>
      </c>
      <c r="J691" s="21">
        <f t="shared" ca="1" si="20"/>
        <v>721</v>
      </c>
      <c r="K691" s="20" t="str">
        <f t="shared" ca="1" si="21"/>
        <v>Overdue</v>
      </c>
    </row>
    <row r="692" spans="1:11" x14ac:dyDescent="0.3">
      <c r="A692" s="18" t="s">
        <v>699</v>
      </c>
      <c r="B692" s="18" t="s">
        <v>811</v>
      </c>
      <c r="C692" s="19">
        <v>45178</v>
      </c>
      <c r="D692" s="19">
        <v>45208</v>
      </c>
      <c r="E692" s="17">
        <v>2858.31</v>
      </c>
      <c r="F692" s="20" t="s">
        <v>814</v>
      </c>
      <c r="G692" s="20" t="s">
        <v>819</v>
      </c>
      <c r="H692" s="20" t="s">
        <v>823</v>
      </c>
      <c r="I692" s="20" t="s">
        <v>822</v>
      </c>
      <c r="J692" s="21">
        <f t="shared" ca="1" si="20"/>
        <v>987</v>
      </c>
      <c r="K692" s="20" t="str">
        <f t="shared" ca="1" si="21"/>
        <v>Overdue</v>
      </c>
    </row>
    <row r="693" spans="1:11" x14ac:dyDescent="0.3">
      <c r="A693" s="18" t="s">
        <v>700</v>
      </c>
      <c r="B693" s="18" t="s">
        <v>811</v>
      </c>
      <c r="C693" s="19">
        <v>45279</v>
      </c>
      <c r="D693" s="19">
        <v>45309</v>
      </c>
      <c r="E693" s="17">
        <v>2144.37</v>
      </c>
      <c r="F693" s="20" t="s">
        <v>815</v>
      </c>
      <c r="G693" s="20" t="s">
        <v>819</v>
      </c>
      <c r="H693" s="20" t="s">
        <v>823</v>
      </c>
      <c r="I693" s="20" t="s">
        <v>822</v>
      </c>
      <c r="J693" s="21">
        <f t="shared" ca="1" si="20"/>
        <v>886</v>
      </c>
      <c r="K693" s="20" t="str">
        <f t="shared" ca="1" si="21"/>
        <v>Overdue</v>
      </c>
    </row>
    <row r="694" spans="1:11" x14ac:dyDescent="0.3">
      <c r="A694" s="18" t="s">
        <v>701</v>
      </c>
      <c r="B694" s="18" t="s">
        <v>812</v>
      </c>
      <c r="C694" s="19">
        <v>45815</v>
      </c>
      <c r="D694" s="19">
        <v>45845</v>
      </c>
      <c r="E694" s="17">
        <v>1051.29</v>
      </c>
      <c r="F694" s="20" t="s">
        <v>814</v>
      </c>
      <c r="G694" s="20" t="s">
        <v>821</v>
      </c>
      <c r="H694" s="22">
        <v>45845</v>
      </c>
      <c r="I694" s="20" t="s">
        <v>822</v>
      </c>
      <c r="J694" s="21">
        <f t="shared" ca="1" si="20"/>
        <v>350</v>
      </c>
      <c r="K694" s="20" t="str">
        <f t="shared" ca="1" si="21"/>
        <v>OK</v>
      </c>
    </row>
    <row r="695" spans="1:11" x14ac:dyDescent="0.3">
      <c r="A695" s="18" t="s">
        <v>702</v>
      </c>
      <c r="B695" s="18" t="s">
        <v>812</v>
      </c>
      <c r="C695" s="19">
        <v>45006</v>
      </c>
      <c r="D695" s="19">
        <v>45036</v>
      </c>
      <c r="E695" s="17">
        <v>212.66</v>
      </c>
      <c r="F695" s="20" t="s">
        <v>817</v>
      </c>
      <c r="G695" s="20" t="s">
        <v>820</v>
      </c>
      <c r="H695" s="20" t="s">
        <v>823</v>
      </c>
      <c r="I695" s="20" t="s">
        <v>822</v>
      </c>
      <c r="J695" s="21">
        <f t="shared" ca="1" si="20"/>
        <v>1159</v>
      </c>
      <c r="K695" s="20" t="str">
        <f t="shared" ca="1" si="21"/>
        <v>Overdue</v>
      </c>
    </row>
    <row r="696" spans="1:11" x14ac:dyDescent="0.3">
      <c r="A696" s="18" t="s">
        <v>703</v>
      </c>
      <c r="B696" s="18" t="s">
        <v>810</v>
      </c>
      <c r="C696" s="19">
        <v>45271</v>
      </c>
      <c r="D696" s="19">
        <v>45301</v>
      </c>
      <c r="E696" s="17">
        <v>2649.88</v>
      </c>
      <c r="F696" s="20" t="s">
        <v>814</v>
      </c>
      <c r="G696" s="20" t="s">
        <v>821</v>
      </c>
      <c r="H696" s="22">
        <v>45301</v>
      </c>
      <c r="I696" s="20" t="s">
        <v>822</v>
      </c>
      <c r="J696" s="21">
        <f t="shared" ca="1" si="20"/>
        <v>894</v>
      </c>
      <c r="K696" s="20" t="str">
        <f t="shared" ca="1" si="21"/>
        <v>OK</v>
      </c>
    </row>
    <row r="697" spans="1:11" x14ac:dyDescent="0.3">
      <c r="A697" s="18" t="s">
        <v>704</v>
      </c>
      <c r="B697" s="18" t="s">
        <v>809</v>
      </c>
      <c r="C697" s="19">
        <v>45074</v>
      </c>
      <c r="D697" s="19">
        <v>45104</v>
      </c>
      <c r="E697" s="17">
        <v>2025.22</v>
      </c>
      <c r="F697" s="20" t="s">
        <v>816</v>
      </c>
      <c r="G697" s="20" t="s">
        <v>819</v>
      </c>
      <c r="H697" s="20" t="s">
        <v>823</v>
      </c>
      <c r="I697" s="20" t="s">
        <v>822</v>
      </c>
      <c r="J697" s="21">
        <f t="shared" ca="1" si="20"/>
        <v>1091</v>
      </c>
      <c r="K697" s="20" t="str">
        <f t="shared" ca="1" si="21"/>
        <v>Overdue</v>
      </c>
    </row>
    <row r="698" spans="1:11" x14ac:dyDescent="0.3">
      <c r="A698" s="18" t="s">
        <v>705</v>
      </c>
      <c r="B698" s="18" t="s">
        <v>810</v>
      </c>
      <c r="C698" s="19">
        <v>45779</v>
      </c>
      <c r="D698" s="19">
        <v>45809</v>
      </c>
      <c r="E698" s="17">
        <v>2110.4899999999998</v>
      </c>
      <c r="F698" s="20" t="s">
        <v>816</v>
      </c>
      <c r="G698" s="20" t="s">
        <v>821</v>
      </c>
      <c r="H698" s="22">
        <v>45809</v>
      </c>
      <c r="I698" s="20" t="s">
        <v>822</v>
      </c>
      <c r="J698" s="21">
        <f t="shared" ca="1" si="20"/>
        <v>386</v>
      </c>
      <c r="K698" s="20" t="str">
        <f t="shared" ca="1" si="21"/>
        <v>OK</v>
      </c>
    </row>
    <row r="699" spans="1:11" x14ac:dyDescent="0.3">
      <c r="A699" s="18" t="s">
        <v>706</v>
      </c>
      <c r="B699" s="18" t="s">
        <v>810</v>
      </c>
      <c r="C699" s="19">
        <v>45624</v>
      </c>
      <c r="D699" s="19">
        <v>45654</v>
      </c>
      <c r="E699" s="17">
        <v>4740.3</v>
      </c>
      <c r="F699" s="20" t="s">
        <v>815</v>
      </c>
      <c r="G699" s="20" t="s">
        <v>821</v>
      </c>
      <c r="H699" s="22">
        <v>45654</v>
      </c>
      <c r="I699" s="20" t="s">
        <v>822</v>
      </c>
      <c r="J699" s="21">
        <f t="shared" ca="1" si="20"/>
        <v>541</v>
      </c>
      <c r="K699" s="20" t="str">
        <f t="shared" ca="1" si="21"/>
        <v>OK</v>
      </c>
    </row>
    <row r="700" spans="1:11" x14ac:dyDescent="0.3">
      <c r="A700" s="18" t="s">
        <v>707</v>
      </c>
      <c r="B700" s="18" t="s">
        <v>813</v>
      </c>
      <c r="C700" s="19">
        <v>45571</v>
      </c>
      <c r="D700" s="19">
        <v>45601</v>
      </c>
      <c r="E700" s="17">
        <v>2511.0500000000002</v>
      </c>
      <c r="F700" s="20" t="s">
        <v>815</v>
      </c>
      <c r="G700" s="20" t="s">
        <v>820</v>
      </c>
      <c r="H700" s="20" t="s">
        <v>823</v>
      </c>
      <c r="I700" s="20" t="s">
        <v>822</v>
      </c>
      <c r="J700" s="21">
        <f t="shared" ca="1" si="20"/>
        <v>594</v>
      </c>
      <c r="K700" s="20" t="str">
        <f t="shared" ca="1" si="21"/>
        <v>Overdue</v>
      </c>
    </row>
    <row r="701" spans="1:11" x14ac:dyDescent="0.3">
      <c r="A701" s="18" t="s">
        <v>708</v>
      </c>
      <c r="B701" s="18" t="s">
        <v>810</v>
      </c>
      <c r="C701" s="19">
        <v>45459</v>
      </c>
      <c r="D701" s="19">
        <v>45489</v>
      </c>
      <c r="E701" s="17">
        <v>1198.06</v>
      </c>
      <c r="F701" s="20" t="s">
        <v>817</v>
      </c>
      <c r="G701" s="20" t="s">
        <v>819</v>
      </c>
      <c r="H701" s="20" t="s">
        <v>823</v>
      </c>
      <c r="I701" s="20" t="s">
        <v>822</v>
      </c>
      <c r="J701" s="21">
        <f t="shared" ca="1" si="20"/>
        <v>706</v>
      </c>
      <c r="K701" s="20" t="str">
        <f t="shared" ca="1" si="21"/>
        <v>Overdue</v>
      </c>
    </row>
    <row r="702" spans="1:11" x14ac:dyDescent="0.3">
      <c r="A702" s="18" t="s">
        <v>709</v>
      </c>
      <c r="B702" s="18" t="s">
        <v>811</v>
      </c>
      <c r="C702" s="19">
        <v>45627</v>
      </c>
      <c r="D702" s="19">
        <v>45657</v>
      </c>
      <c r="E702" s="17">
        <v>4648.54</v>
      </c>
      <c r="F702" s="20" t="s">
        <v>817</v>
      </c>
      <c r="G702" s="20" t="s">
        <v>820</v>
      </c>
      <c r="H702" s="20" t="s">
        <v>823</v>
      </c>
      <c r="I702" s="20" t="s">
        <v>822</v>
      </c>
      <c r="J702" s="21">
        <f t="shared" ca="1" si="20"/>
        <v>538</v>
      </c>
      <c r="K702" s="20" t="str">
        <f t="shared" ca="1" si="21"/>
        <v>Overdue</v>
      </c>
    </row>
    <row r="703" spans="1:11" x14ac:dyDescent="0.3">
      <c r="A703" s="18" t="s">
        <v>710</v>
      </c>
      <c r="B703" s="18" t="s">
        <v>812</v>
      </c>
      <c r="C703" s="19">
        <v>45391</v>
      </c>
      <c r="D703" s="19">
        <v>45421</v>
      </c>
      <c r="E703" s="17">
        <v>1123.9000000000001</v>
      </c>
      <c r="F703" s="20" t="s">
        <v>817</v>
      </c>
      <c r="G703" s="20" t="s">
        <v>819</v>
      </c>
      <c r="H703" s="20" t="s">
        <v>823</v>
      </c>
      <c r="I703" s="20" t="s">
        <v>822</v>
      </c>
      <c r="J703" s="21">
        <f t="shared" ca="1" si="20"/>
        <v>774</v>
      </c>
      <c r="K703" s="20" t="str">
        <f t="shared" ca="1" si="21"/>
        <v>Overdue</v>
      </c>
    </row>
    <row r="704" spans="1:11" x14ac:dyDescent="0.3">
      <c r="A704" s="18" t="s">
        <v>711</v>
      </c>
      <c r="B704" s="18" t="s">
        <v>809</v>
      </c>
      <c r="C704" s="19">
        <v>45271</v>
      </c>
      <c r="D704" s="19">
        <v>45301</v>
      </c>
      <c r="E704" s="17">
        <v>137.11000000000001</v>
      </c>
      <c r="F704" s="20" t="s">
        <v>817</v>
      </c>
      <c r="G704" s="20" t="s">
        <v>820</v>
      </c>
      <c r="H704" s="20" t="s">
        <v>823</v>
      </c>
      <c r="I704" s="20" t="s">
        <v>822</v>
      </c>
      <c r="J704" s="21">
        <f t="shared" ca="1" si="20"/>
        <v>894</v>
      </c>
      <c r="K704" s="20" t="str">
        <f t="shared" ca="1" si="21"/>
        <v>Overdue</v>
      </c>
    </row>
    <row r="705" spans="1:11" x14ac:dyDescent="0.3">
      <c r="A705" s="18" t="s">
        <v>712</v>
      </c>
      <c r="B705" s="18" t="s">
        <v>809</v>
      </c>
      <c r="C705" s="19">
        <v>45445</v>
      </c>
      <c r="D705" s="19">
        <v>45475</v>
      </c>
      <c r="E705" s="17">
        <v>1824.99</v>
      </c>
      <c r="F705" s="20" t="s">
        <v>814</v>
      </c>
      <c r="G705" s="20" t="s">
        <v>821</v>
      </c>
      <c r="H705" s="22">
        <v>45475</v>
      </c>
      <c r="I705" s="20" t="s">
        <v>822</v>
      </c>
      <c r="J705" s="21">
        <f t="shared" ca="1" si="20"/>
        <v>720</v>
      </c>
      <c r="K705" s="20" t="str">
        <f t="shared" ca="1" si="21"/>
        <v>OK</v>
      </c>
    </row>
    <row r="706" spans="1:11" x14ac:dyDescent="0.3">
      <c r="A706" s="18" t="s">
        <v>713</v>
      </c>
      <c r="B706" s="18" t="s">
        <v>812</v>
      </c>
      <c r="C706" s="19">
        <v>45079</v>
      </c>
      <c r="D706" s="19">
        <v>45109</v>
      </c>
      <c r="E706" s="17">
        <v>3916.78</v>
      </c>
      <c r="F706" s="20" t="s">
        <v>816</v>
      </c>
      <c r="G706" s="20" t="s">
        <v>820</v>
      </c>
      <c r="H706" s="20" t="s">
        <v>823</v>
      </c>
      <c r="I706" s="20" t="s">
        <v>822</v>
      </c>
      <c r="J706" s="21">
        <f t="shared" ref="J706:J769" ca="1" si="22">TODAY()-D706</f>
        <v>1086</v>
      </c>
      <c r="K706" s="20" t="str">
        <f t="shared" ref="K706:K769" ca="1" si="23">IF(AND(TODAY()&gt;D706,G706&lt;&gt;"Paid"),"Overdue","OK")</f>
        <v>Overdue</v>
      </c>
    </row>
    <row r="707" spans="1:11" x14ac:dyDescent="0.3">
      <c r="A707" s="18" t="s">
        <v>714</v>
      </c>
      <c r="B707" s="18" t="s">
        <v>811</v>
      </c>
      <c r="C707" s="19">
        <v>45091</v>
      </c>
      <c r="D707" s="19">
        <v>45121</v>
      </c>
      <c r="E707" s="17">
        <v>4748.8999999999996</v>
      </c>
      <c r="F707" s="20" t="s">
        <v>818</v>
      </c>
      <c r="G707" s="20" t="s">
        <v>820</v>
      </c>
      <c r="H707" s="20" t="s">
        <v>823</v>
      </c>
      <c r="I707" s="20" t="s">
        <v>822</v>
      </c>
      <c r="J707" s="21">
        <f t="shared" ca="1" si="22"/>
        <v>1074</v>
      </c>
      <c r="K707" s="20" t="str">
        <f t="shared" ca="1" si="23"/>
        <v>Overdue</v>
      </c>
    </row>
    <row r="708" spans="1:11" x14ac:dyDescent="0.3">
      <c r="A708" s="18" t="s">
        <v>715</v>
      </c>
      <c r="B708" s="18" t="s">
        <v>813</v>
      </c>
      <c r="C708" s="19">
        <v>45770</v>
      </c>
      <c r="D708" s="19">
        <v>45800</v>
      </c>
      <c r="E708" s="17">
        <v>2620.19</v>
      </c>
      <c r="F708" s="20" t="s">
        <v>814</v>
      </c>
      <c r="G708" s="20" t="s">
        <v>819</v>
      </c>
      <c r="H708" s="20" t="s">
        <v>823</v>
      </c>
      <c r="I708" s="20" t="s">
        <v>822</v>
      </c>
      <c r="J708" s="21">
        <f t="shared" ca="1" si="22"/>
        <v>395</v>
      </c>
      <c r="K708" s="20" t="str">
        <f t="shared" ca="1" si="23"/>
        <v>Overdue</v>
      </c>
    </row>
    <row r="709" spans="1:11" x14ac:dyDescent="0.3">
      <c r="A709" s="18" t="s">
        <v>716</v>
      </c>
      <c r="B709" s="18" t="s">
        <v>810</v>
      </c>
      <c r="C709" s="19">
        <v>44990</v>
      </c>
      <c r="D709" s="19">
        <v>45020</v>
      </c>
      <c r="E709" s="17">
        <v>3038.06</v>
      </c>
      <c r="F709" s="20" t="s">
        <v>818</v>
      </c>
      <c r="G709" s="20" t="s">
        <v>819</v>
      </c>
      <c r="H709" s="20" t="s">
        <v>823</v>
      </c>
      <c r="I709" s="20" t="s">
        <v>822</v>
      </c>
      <c r="J709" s="21">
        <f t="shared" ca="1" si="22"/>
        <v>1175</v>
      </c>
      <c r="K709" s="20" t="str">
        <f t="shared" ca="1" si="23"/>
        <v>Overdue</v>
      </c>
    </row>
    <row r="710" spans="1:11" x14ac:dyDescent="0.3">
      <c r="A710" s="18" t="s">
        <v>717</v>
      </c>
      <c r="B710" s="18" t="s">
        <v>810</v>
      </c>
      <c r="C710" s="19">
        <v>45275</v>
      </c>
      <c r="D710" s="19">
        <v>45305</v>
      </c>
      <c r="E710" s="17">
        <v>1309.8800000000001</v>
      </c>
      <c r="F710" s="20" t="s">
        <v>814</v>
      </c>
      <c r="G710" s="20" t="s">
        <v>821</v>
      </c>
      <c r="H710" s="22">
        <v>45305</v>
      </c>
      <c r="I710" s="20" t="s">
        <v>822</v>
      </c>
      <c r="J710" s="21">
        <f t="shared" ca="1" si="22"/>
        <v>890</v>
      </c>
      <c r="K710" s="20" t="str">
        <f t="shared" ca="1" si="23"/>
        <v>OK</v>
      </c>
    </row>
    <row r="711" spans="1:11" x14ac:dyDescent="0.3">
      <c r="A711" s="18" t="s">
        <v>718</v>
      </c>
      <c r="B711" s="18" t="s">
        <v>811</v>
      </c>
      <c r="C711" s="19">
        <v>45028</v>
      </c>
      <c r="D711" s="19">
        <v>45058</v>
      </c>
      <c r="E711" s="17">
        <v>3542.51</v>
      </c>
      <c r="F711" s="20" t="s">
        <v>816</v>
      </c>
      <c r="G711" s="20" t="s">
        <v>821</v>
      </c>
      <c r="H711" s="22">
        <v>45058</v>
      </c>
      <c r="I711" s="20" t="s">
        <v>822</v>
      </c>
      <c r="J711" s="21">
        <f t="shared" ca="1" si="22"/>
        <v>1137</v>
      </c>
      <c r="K711" s="20" t="str">
        <f t="shared" ca="1" si="23"/>
        <v>OK</v>
      </c>
    </row>
    <row r="712" spans="1:11" x14ac:dyDescent="0.3">
      <c r="A712" s="18" t="s">
        <v>719</v>
      </c>
      <c r="B712" s="18" t="s">
        <v>809</v>
      </c>
      <c r="C712" s="19">
        <v>44986</v>
      </c>
      <c r="D712" s="19">
        <v>45016</v>
      </c>
      <c r="E712" s="17">
        <v>1785.99</v>
      </c>
      <c r="F712" s="20" t="s">
        <v>818</v>
      </c>
      <c r="G712" s="20" t="s">
        <v>820</v>
      </c>
      <c r="H712" s="20" t="s">
        <v>823</v>
      </c>
      <c r="I712" s="20" t="s">
        <v>822</v>
      </c>
      <c r="J712" s="21">
        <f t="shared" ca="1" si="22"/>
        <v>1179</v>
      </c>
      <c r="K712" s="20" t="str">
        <f t="shared" ca="1" si="23"/>
        <v>Overdue</v>
      </c>
    </row>
    <row r="713" spans="1:11" x14ac:dyDescent="0.3">
      <c r="A713" s="18" t="s">
        <v>720</v>
      </c>
      <c r="B713" s="18" t="s">
        <v>810</v>
      </c>
      <c r="C713" s="19">
        <v>45158</v>
      </c>
      <c r="D713" s="19">
        <v>45188</v>
      </c>
      <c r="E713" s="17">
        <v>2979.86</v>
      </c>
      <c r="F713" s="20" t="s">
        <v>815</v>
      </c>
      <c r="G713" s="20" t="s">
        <v>821</v>
      </c>
      <c r="H713" s="22">
        <v>45188</v>
      </c>
      <c r="I713" s="20" t="s">
        <v>822</v>
      </c>
      <c r="J713" s="21">
        <f t="shared" ca="1" si="22"/>
        <v>1007</v>
      </c>
      <c r="K713" s="20" t="str">
        <f t="shared" ca="1" si="23"/>
        <v>OK</v>
      </c>
    </row>
    <row r="714" spans="1:11" x14ac:dyDescent="0.3">
      <c r="A714" s="18" t="s">
        <v>721</v>
      </c>
      <c r="B714" s="18" t="s">
        <v>812</v>
      </c>
      <c r="C714" s="19">
        <v>45154</v>
      </c>
      <c r="D714" s="19">
        <v>45184</v>
      </c>
      <c r="E714" s="17">
        <v>3891.24</v>
      </c>
      <c r="F714" s="20" t="s">
        <v>816</v>
      </c>
      <c r="G714" s="20" t="s">
        <v>820</v>
      </c>
      <c r="H714" s="20" t="s">
        <v>823</v>
      </c>
      <c r="I714" s="20" t="s">
        <v>822</v>
      </c>
      <c r="J714" s="21">
        <f t="shared" ca="1" si="22"/>
        <v>1011</v>
      </c>
      <c r="K714" s="20" t="str">
        <f t="shared" ca="1" si="23"/>
        <v>Overdue</v>
      </c>
    </row>
    <row r="715" spans="1:11" x14ac:dyDescent="0.3">
      <c r="A715" s="18" t="s">
        <v>722</v>
      </c>
      <c r="B715" s="18" t="s">
        <v>810</v>
      </c>
      <c r="C715" s="19">
        <v>45698</v>
      </c>
      <c r="D715" s="19">
        <v>45728</v>
      </c>
      <c r="E715" s="17">
        <v>4674.42</v>
      </c>
      <c r="F715" s="20" t="s">
        <v>817</v>
      </c>
      <c r="G715" s="20" t="s">
        <v>821</v>
      </c>
      <c r="H715" s="22">
        <v>45728</v>
      </c>
      <c r="I715" s="20" t="s">
        <v>822</v>
      </c>
      <c r="J715" s="21">
        <f t="shared" ca="1" si="22"/>
        <v>467</v>
      </c>
      <c r="K715" s="20" t="str">
        <f t="shared" ca="1" si="23"/>
        <v>OK</v>
      </c>
    </row>
    <row r="716" spans="1:11" x14ac:dyDescent="0.3">
      <c r="A716" s="18" t="s">
        <v>723</v>
      </c>
      <c r="B716" s="18" t="s">
        <v>809</v>
      </c>
      <c r="C716" s="19">
        <v>45464</v>
      </c>
      <c r="D716" s="19">
        <v>45494</v>
      </c>
      <c r="E716" s="17">
        <v>2370.71</v>
      </c>
      <c r="F716" s="20" t="s">
        <v>816</v>
      </c>
      <c r="G716" s="20" t="s">
        <v>820</v>
      </c>
      <c r="H716" s="20" t="s">
        <v>823</v>
      </c>
      <c r="I716" s="20" t="s">
        <v>822</v>
      </c>
      <c r="J716" s="21">
        <f t="shared" ca="1" si="22"/>
        <v>701</v>
      </c>
      <c r="K716" s="20" t="str">
        <f t="shared" ca="1" si="23"/>
        <v>Overdue</v>
      </c>
    </row>
    <row r="717" spans="1:11" x14ac:dyDescent="0.3">
      <c r="A717" s="18" t="s">
        <v>724</v>
      </c>
      <c r="B717" s="18" t="s">
        <v>809</v>
      </c>
      <c r="C717" s="19">
        <v>45168</v>
      </c>
      <c r="D717" s="19">
        <v>45198</v>
      </c>
      <c r="E717" s="17">
        <v>2872.68</v>
      </c>
      <c r="F717" s="20" t="s">
        <v>818</v>
      </c>
      <c r="G717" s="20" t="s">
        <v>820</v>
      </c>
      <c r="H717" s="20" t="s">
        <v>823</v>
      </c>
      <c r="I717" s="20" t="s">
        <v>822</v>
      </c>
      <c r="J717" s="21">
        <f t="shared" ca="1" si="22"/>
        <v>997</v>
      </c>
      <c r="K717" s="20" t="str">
        <f t="shared" ca="1" si="23"/>
        <v>Overdue</v>
      </c>
    </row>
    <row r="718" spans="1:11" x14ac:dyDescent="0.3">
      <c r="A718" s="18" t="s">
        <v>725</v>
      </c>
      <c r="B718" s="18" t="s">
        <v>813</v>
      </c>
      <c r="C718" s="19">
        <v>45246</v>
      </c>
      <c r="D718" s="19">
        <v>45276</v>
      </c>
      <c r="E718" s="17">
        <v>1865.16</v>
      </c>
      <c r="F718" s="20" t="s">
        <v>815</v>
      </c>
      <c r="G718" s="20" t="s">
        <v>820</v>
      </c>
      <c r="H718" s="20" t="s">
        <v>823</v>
      </c>
      <c r="I718" s="20" t="s">
        <v>822</v>
      </c>
      <c r="J718" s="21">
        <f t="shared" ca="1" si="22"/>
        <v>919</v>
      </c>
      <c r="K718" s="20" t="str">
        <f t="shared" ca="1" si="23"/>
        <v>Overdue</v>
      </c>
    </row>
    <row r="719" spans="1:11" x14ac:dyDescent="0.3">
      <c r="A719" s="18" t="s">
        <v>726</v>
      </c>
      <c r="B719" s="18" t="s">
        <v>810</v>
      </c>
      <c r="C719" s="19">
        <v>45005</v>
      </c>
      <c r="D719" s="19">
        <v>45035</v>
      </c>
      <c r="E719" s="17">
        <v>2554.81</v>
      </c>
      <c r="F719" s="20" t="s">
        <v>818</v>
      </c>
      <c r="G719" s="20" t="s">
        <v>821</v>
      </c>
      <c r="H719" s="22">
        <v>45035</v>
      </c>
      <c r="I719" s="20" t="s">
        <v>822</v>
      </c>
      <c r="J719" s="21">
        <f t="shared" ca="1" si="22"/>
        <v>1160</v>
      </c>
      <c r="K719" s="20" t="str">
        <f t="shared" ca="1" si="23"/>
        <v>OK</v>
      </c>
    </row>
    <row r="720" spans="1:11" x14ac:dyDescent="0.3">
      <c r="A720" s="18" t="s">
        <v>727</v>
      </c>
      <c r="B720" s="18" t="s">
        <v>809</v>
      </c>
      <c r="C720" s="19">
        <v>45615</v>
      </c>
      <c r="D720" s="19">
        <v>45645</v>
      </c>
      <c r="E720" s="17">
        <v>4346.0600000000004</v>
      </c>
      <c r="F720" s="20" t="s">
        <v>816</v>
      </c>
      <c r="G720" s="20" t="s">
        <v>821</v>
      </c>
      <c r="H720" s="22">
        <v>45645</v>
      </c>
      <c r="I720" s="20" t="s">
        <v>822</v>
      </c>
      <c r="J720" s="21">
        <f t="shared" ca="1" si="22"/>
        <v>550</v>
      </c>
      <c r="K720" s="20" t="str">
        <f t="shared" ca="1" si="23"/>
        <v>OK</v>
      </c>
    </row>
    <row r="721" spans="1:11" x14ac:dyDescent="0.3">
      <c r="A721" s="18" t="s">
        <v>728</v>
      </c>
      <c r="B721" s="18" t="s">
        <v>809</v>
      </c>
      <c r="C721" s="19">
        <v>45336</v>
      </c>
      <c r="D721" s="19">
        <v>45366</v>
      </c>
      <c r="E721" s="17">
        <v>3898.42</v>
      </c>
      <c r="F721" s="20" t="s">
        <v>816</v>
      </c>
      <c r="G721" s="20" t="s">
        <v>821</v>
      </c>
      <c r="H721" s="22">
        <v>45366</v>
      </c>
      <c r="I721" s="20" t="s">
        <v>822</v>
      </c>
      <c r="J721" s="21">
        <f t="shared" ca="1" si="22"/>
        <v>829</v>
      </c>
      <c r="K721" s="20" t="str">
        <f t="shared" ca="1" si="23"/>
        <v>OK</v>
      </c>
    </row>
    <row r="722" spans="1:11" x14ac:dyDescent="0.3">
      <c r="A722" s="18" t="s">
        <v>729</v>
      </c>
      <c r="B722" s="18" t="s">
        <v>813</v>
      </c>
      <c r="C722" s="19">
        <v>45484</v>
      </c>
      <c r="D722" s="19">
        <v>45514</v>
      </c>
      <c r="E722" s="17">
        <v>4765.16</v>
      </c>
      <c r="F722" s="20" t="s">
        <v>814</v>
      </c>
      <c r="G722" s="20" t="s">
        <v>819</v>
      </c>
      <c r="H722" s="20" t="s">
        <v>823</v>
      </c>
      <c r="I722" s="20" t="s">
        <v>822</v>
      </c>
      <c r="J722" s="21">
        <f t="shared" ca="1" si="22"/>
        <v>681</v>
      </c>
      <c r="K722" s="20" t="str">
        <f t="shared" ca="1" si="23"/>
        <v>Overdue</v>
      </c>
    </row>
    <row r="723" spans="1:11" x14ac:dyDescent="0.3">
      <c r="A723" s="18" t="s">
        <v>730</v>
      </c>
      <c r="B723" s="18" t="s">
        <v>811</v>
      </c>
      <c r="C723" s="19">
        <v>45487</v>
      </c>
      <c r="D723" s="19">
        <v>45517</v>
      </c>
      <c r="E723" s="17">
        <v>1994.49</v>
      </c>
      <c r="F723" s="20" t="s">
        <v>814</v>
      </c>
      <c r="G723" s="20" t="s">
        <v>819</v>
      </c>
      <c r="H723" s="20" t="s">
        <v>823</v>
      </c>
      <c r="I723" s="20" t="s">
        <v>822</v>
      </c>
      <c r="J723" s="21">
        <f t="shared" ca="1" si="22"/>
        <v>678</v>
      </c>
      <c r="K723" s="20" t="str">
        <f t="shared" ca="1" si="23"/>
        <v>Overdue</v>
      </c>
    </row>
    <row r="724" spans="1:11" x14ac:dyDescent="0.3">
      <c r="A724" s="18" t="s">
        <v>731</v>
      </c>
      <c r="B724" s="18" t="s">
        <v>810</v>
      </c>
      <c r="C724" s="19">
        <v>44989</v>
      </c>
      <c r="D724" s="19">
        <v>45019</v>
      </c>
      <c r="E724" s="17">
        <v>4230.24</v>
      </c>
      <c r="F724" s="20" t="s">
        <v>816</v>
      </c>
      <c r="G724" s="20" t="s">
        <v>819</v>
      </c>
      <c r="H724" s="20" t="s">
        <v>823</v>
      </c>
      <c r="I724" s="20" t="s">
        <v>822</v>
      </c>
      <c r="J724" s="21">
        <f t="shared" ca="1" si="22"/>
        <v>1176</v>
      </c>
      <c r="K724" s="20" t="str">
        <f t="shared" ca="1" si="23"/>
        <v>Overdue</v>
      </c>
    </row>
    <row r="725" spans="1:11" x14ac:dyDescent="0.3">
      <c r="A725" s="18" t="s">
        <v>732</v>
      </c>
      <c r="B725" s="18" t="s">
        <v>811</v>
      </c>
      <c r="C725" s="19">
        <v>45556</v>
      </c>
      <c r="D725" s="19">
        <v>45586</v>
      </c>
      <c r="E725" s="17">
        <v>1606.15</v>
      </c>
      <c r="F725" s="20" t="s">
        <v>815</v>
      </c>
      <c r="G725" s="20" t="s">
        <v>820</v>
      </c>
      <c r="H725" s="20" t="s">
        <v>823</v>
      </c>
      <c r="I725" s="20" t="s">
        <v>822</v>
      </c>
      <c r="J725" s="21">
        <f t="shared" ca="1" si="22"/>
        <v>609</v>
      </c>
      <c r="K725" s="20" t="str">
        <f t="shared" ca="1" si="23"/>
        <v>Overdue</v>
      </c>
    </row>
    <row r="726" spans="1:11" x14ac:dyDescent="0.3">
      <c r="A726" s="18" t="s">
        <v>733</v>
      </c>
      <c r="B726" s="18" t="s">
        <v>812</v>
      </c>
      <c r="C726" s="19">
        <v>45562</v>
      </c>
      <c r="D726" s="19">
        <v>45592</v>
      </c>
      <c r="E726" s="17">
        <v>158.24</v>
      </c>
      <c r="F726" s="20" t="s">
        <v>818</v>
      </c>
      <c r="G726" s="20" t="s">
        <v>819</v>
      </c>
      <c r="H726" s="20" t="s">
        <v>823</v>
      </c>
      <c r="I726" s="20" t="s">
        <v>822</v>
      </c>
      <c r="J726" s="21">
        <f t="shared" ca="1" si="22"/>
        <v>603</v>
      </c>
      <c r="K726" s="20" t="str">
        <f t="shared" ca="1" si="23"/>
        <v>Overdue</v>
      </c>
    </row>
    <row r="727" spans="1:11" x14ac:dyDescent="0.3">
      <c r="A727" s="18" t="s">
        <v>734</v>
      </c>
      <c r="B727" s="18" t="s">
        <v>810</v>
      </c>
      <c r="C727" s="19">
        <v>45130</v>
      </c>
      <c r="D727" s="19">
        <v>45160</v>
      </c>
      <c r="E727" s="17">
        <v>4538.8900000000003</v>
      </c>
      <c r="F727" s="20" t="s">
        <v>815</v>
      </c>
      <c r="G727" s="20" t="s">
        <v>821</v>
      </c>
      <c r="H727" s="22">
        <v>45160</v>
      </c>
      <c r="I727" s="20" t="s">
        <v>822</v>
      </c>
      <c r="J727" s="21">
        <f t="shared" ca="1" si="22"/>
        <v>1035</v>
      </c>
      <c r="K727" s="20" t="str">
        <f t="shared" ca="1" si="23"/>
        <v>OK</v>
      </c>
    </row>
    <row r="728" spans="1:11" x14ac:dyDescent="0.3">
      <c r="A728" s="18" t="s">
        <v>735</v>
      </c>
      <c r="B728" s="18" t="s">
        <v>813</v>
      </c>
      <c r="C728" s="19">
        <v>45603</v>
      </c>
      <c r="D728" s="19">
        <v>45633</v>
      </c>
      <c r="E728" s="17">
        <v>204.27</v>
      </c>
      <c r="F728" s="20" t="s">
        <v>814</v>
      </c>
      <c r="G728" s="20" t="s">
        <v>819</v>
      </c>
      <c r="H728" s="20" t="s">
        <v>823</v>
      </c>
      <c r="I728" s="20" t="s">
        <v>822</v>
      </c>
      <c r="J728" s="21">
        <f t="shared" ca="1" si="22"/>
        <v>562</v>
      </c>
      <c r="K728" s="20" t="str">
        <f t="shared" ca="1" si="23"/>
        <v>Overdue</v>
      </c>
    </row>
    <row r="729" spans="1:11" x14ac:dyDescent="0.3">
      <c r="A729" s="18" t="s">
        <v>736</v>
      </c>
      <c r="B729" s="18" t="s">
        <v>811</v>
      </c>
      <c r="C729" s="19">
        <v>45127</v>
      </c>
      <c r="D729" s="19">
        <v>45157</v>
      </c>
      <c r="E729" s="17">
        <v>3257.13</v>
      </c>
      <c r="F729" s="20" t="s">
        <v>816</v>
      </c>
      <c r="G729" s="20" t="s">
        <v>820</v>
      </c>
      <c r="H729" s="20" t="s">
        <v>823</v>
      </c>
      <c r="I729" s="20" t="s">
        <v>822</v>
      </c>
      <c r="J729" s="21">
        <f t="shared" ca="1" si="22"/>
        <v>1038</v>
      </c>
      <c r="K729" s="20" t="str">
        <f t="shared" ca="1" si="23"/>
        <v>Overdue</v>
      </c>
    </row>
    <row r="730" spans="1:11" x14ac:dyDescent="0.3">
      <c r="A730" s="18" t="s">
        <v>737</v>
      </c>
      <c r="B730" s="18" t="s">
        <v>809</v>
      </c>
      <c r="C730" s="19">
        <v>45575</v>
      </c>
      <c r="D730" s="19">
        <v>45605</v>
      </c>
      <c r="E730" s="17">
        <v>488.64</v>
      </c>
      <c r="F730" s="20" t="s">
        <v>818</v>
      </c>
      <c r="G730" s="20" t="s">
        <v>821</v>
      </c>
      <c r="H730" s="22">
        <v>45605</v>
      </c>
      <c r="I730" s="20" t="s">
        <v>822</v>
      </c>
      <c r="J730" s="21">
        <f t="shared" ca="1" si="22"/>
        <v>590</v>
      </c>
      <c r="K730" s="20" t="str">
        <f t="shared" ca="1" si="23"/>
        <v>OK</v>
      </c>
    </row>
    <row r="731" spans="1:11" x14ac:dyDescent="0.3">
      <c r="A731" s="18" t="s">
        <v>738</v>
      </c>
      <c r="B731" s="18" t="s">
        <v>811</v>
      </c>
      <c r="C731" s="19">
        <v>45239</v>
      </c>
      <c r="D731" s="19">
        <v>45269</v>
      </c>
      <c r="E731" s="17">
        <v>2790.33</v>
      </c>
      <c r="F731" s="20" t="s">
        <v>816</v>
      </c>
      <c r="G731" s="20" t="s">
        <v>820</v>
      </c>
      <c r="H731" s="20" t="s">
        <v>823</v>
      </c>
      <c r="I731" s="20" t="s">
        <v>822</v>
      </c>
      <c r="J731" s="21">
        <f t="shared" ca="1" si="22"/>
        <v>926</v>
      </c>
      <c r="K731" s="20" t="str">
        <f t="shared" ca="1" si="23"/>
        <v>Overdue</v>
      </c>
    </row>
    <row r="732" spans="1:11" x14ac:dyDescent="0.3">
      <c r="A732" s="18" t="s">
        <v>739</v>
      </c>
      <c r="B732" s="18" t="s">
        <v>809</v>
      </c>
      <c r="C732" s="19">
        <v>45187</v>
      </c>
      <c r="D732" s="19">
        <v>45217</v>
      </c>
      <c r="E732" s="17">
        <v>1246.1199999999999</v>
      </c>
      <c r="F732" s="20" t="s">
        <v>815</v>
      </c>
      <c r="G732" s="20" t="s">
        <v>820</v>
      </c>
      <c r="H732" s="20" t="s">
        <v>823</v>
      </c>
      <c r="I732" s="20" t="s">
        <v>822</v>
      </c>
      <c r="J732" s="21">
        <f t="shared" ca="1" si="22"/>
        <v>978</v>
      </c>
      <c r="K732" s="20" t="str">
        <f t="shared" ca="1" si="23"/>
        <v>Overdue</v>
      </c>
    </row>
    <row r="733" spans="1:11" x14ac:dyDescent="0.3">
      <c r="A733" s="18" t="s">
        <v>740</v>
      </c>
      <c r="B733" s="18" t="s">
        <v>810</v>
      </c>
      <c r="C733" s="19">
        <v>45471</v>
      </c>
      <c r="D733" s="19">
        <v>45501</v>
      </c>
      <c r="E733" s="17">
        <v>2390.31</v>
      </c>
      <c r="F733" s="20" t="s">
        <v>817</v>
      </c>
      <c r="G733" s="20" t="s">
        <v>819</v>
      </c>
      <c r="H733" s="20" t="s">
        <v>823</v>
      </c>
      <c r="I733" s="20" t="s">
        <v>822</v>
      </c>
      <c r="J733" s="21">
        <f t="shared" ca="1" si="22"/>
        <v>694</v>
      </c>
      <c r="K733" s="20" t="str">
        <f t="shared" ca="1" si="23"/>
        <v>Overdue</v>
      </c>
    </row>
    <row r="734" spans="1:11" x14ac:dyDescent="0.3">
      <c r="A734" s="18" t="s">
        <v>741</v>
      </c>
      <c r="B734" s="18" t="s">
        <v>811</v>
      </c>
      <c r="C734" s="19">
        <v>45303</v>
      </c>
      <c r="D734" s="19">
        <v>45333</v>
      </c>
      <c r="E734" s="17">
        <v>3697.86</v>
      </c>
      <c r="F734" s="20" t="s">
        <v>814</v>
      </c>
      <c r="G734" s="20" t="s">
        <v>820</v>
      </c>
      <c r="H734" s="20" t="s">
        <v>823</v>
      </c>
      <c r="I734" s="20" t="s">
        <v>822</v>
      </c>
      <c r="J734" s="21">
        <f t="shared" ca="1" si="22"/>
        <v>862</v>
      </c>
      <c r="K734" s="20" t="str">
        <f t="shared" ca="1" si="23"/>
        <v>Overdue</v>
      </c>
    </row>
    <row r="735" spans="1:11" x14ac:dyDescent="0.3">
      <c r="A735" s="18" t="s">
        <v>742</v>
      </c>
      <c r="B735" s="18" t="s">
        <v>809</v>
      </c>
      <c r="C735" s="19">
        <v>45804</v>
      </c>
      <c r="D735" s="19">
        <v>45834</v>
      </c>
      <c r="E735" s="17">
        <v>3404.52</v>
      </c>
      <c r="F735" s="20" t="s">
        <v>816</v>
      </c>
      <c r="G735" s="20" t="s">
        <v>819</v>
      </c>
      <c r="H735" s="20" t="s">
        <v>823</v>
      </c>
      <c r="I735" s="20" t="s">
        <v>822</v>
      </c>
      <c r="J735" s="21">
        <f t="shared" ca="1" si="22"/>
        <v>361</v>
      </c>
      <c r="K735" s="20" t="str">
        <f t="shared" ca="1" si="23"/>
        <v>Overdue</v>
      </c>
    </row>
    <row r="736" spans="1:11" x14ac:dyDescent="0.3">
      <c r="A736" s="18" t="s">
        <v>743</v>
      </c>
      <c r="B736" s="18" t="s">
        <v>811</v>
      </c>
      <c r="C736" s="19">
        <v>45709</v>
      </c>
      <c r="D736" s="19">
        <v>45739</v>
      </c>
      <c r="E736" s="17">
        <v>3730.17</v>
      </c>
      <c r="F736" s="20" t="s">
        <v>816</v>
      </c>
      <c r="G736" s="20" t="s">
        <v>819</v>
      </c>
      <c r="H736" s="20" t="s">
        <v>823</v>
      </c>
      <c r="I736" s="20" t="s">
        <v>822</v>
      </c>
      <c r="J736" s="21">
        <f t="shared" ca="1" si="22"/>
        <v>456</v>
      </c>
      <c r="K736" s="20" t="str">
        <f t="shared" ca="1" si="23"/>
        <v>Overdue</v>
      </c>
    </row>
    <row r="737" spans="1:11" x14ac:dyDescent="0.3">
      <c r="A737" s="18" t="s">
        <v>744</v>
      </c>
      <c r="B737" s="18" t="s">
        <v>813</v>
      </c>
      <c r="C737" s="19">
        <v>45772</v>
      </c>
      <c r="D737" s="19">
        <v>45802</v>
      </c>
      <c r="E737" s="17">
        <v>199.45</v>
      </c>
      <c r="F737" s="20" t="s">
        <v>818</v>
      </c>
      <c r="G737" s="20" t="s">
        <v>820</v>
      </c>
      <c r="H737" s="20" t="s">
        <v>823</v>
      </c>
      <c r="I737" s="20" t="s">
        <v>822</v>
      </c>
      <c r="J737" s="21">
        <f t="shared" ca="1" si="22"/>
        <v>393</v>
      </c>
      <c r="K737" s="20" t="str">
        <f t="shared" ca="1" si="23"/>
        <v>Overdue</v>
      </c>
    </row>
    <row r="738" spans="1:11" x14ac:dyDescent="0.3">
      <c r="A738" s="18" t="s">
        <v>745</v>
      </c>
      <c r="B738" s="18" t="s">
        <v>811</v>
      </c>
      <c r="C738" s="19">
        <v>45646</v>
      </c>
      <c r="D738" s="19">
        <v>45676</v>
      </c>
      <c r="E738" s="17">
        <v>4466.8</v>
      </c>
      <c r="F738" s="20" t="s">
        <v>818</v>
      </c>
      <c r="G738" s="20" t="s">
        <v>819</v>
      </c>
      <c r="H738" s="20" t="s">
        <v>823</v>
      </c>
      <c r="I738" s="20" t="s">
        <v>822</v>
      </c>
      <c r="J738" s="21">
        <f t="shared" ca="1" si="22"/>
        <v>519</v>
      </c>
      <c r="K738" s="20" t="str">
        <f t="shared" ca="1" si="23"/>
        <v>Overdue</v>
      </c>
    </row>
    <row r="739" spans="1:11" x14ac:dyDescent="0.3">
      <c r="A739" s="18" t="s">
        <v>746</v>
      </c>
      <c r="B739" s="18" t="s">
        <v>812</v>
      </c>
      <c r="C739" s="19">
        <v>45805</v>
      </c>
      <c r="D739" s="19">
        <v>45835</v>
      </c>
      <c r="E739" s="17">
        <v>4368.08</v>
      </c>
      <c r="F739" s="20" t="s">
        <v>816</v>
      </c>
      <c r="G739" s="20" t="s">
        <v>821</v>
      </c>
      <c r="H739" s="22">
        <v>45835</v>
      </c>
      <c r="I739" s="20" t="s">
        <v>822</v>
      </c>
      <c r="J739" s="21">
        <f t="shared" ca="1" si="22"/>
        <v>360</v>
      </c>
      <c r="K739" s="20" t="str">
        <f t="shared" ca="1" si="23"/>
        <v>OK</v>
      </c>
    </row>
    <row r="740" spans="1:11" x14ac:dyDescent="0.3">
      <c r="A740" s="18" t="s">
        <v>747</v>
      </c>
      <c r="B740" s="18" t="s">
        <v>809</v>
      </c>
      <c r="C740" s="19">
        <v>45269</v>
      </c>
      <c r="D740" s="19">
        <v>45299</v>
      </c>
      <c r="E740" s="17">
        <v>2910.39</v>
      </c>
      <c r="F740" s="20" t="s">
        <v>814</v>
      </c>
      <c r="G740" s="20" t="s">
        <v>821</v>
      </c>
      <c r="H740" s="22">
        <v>45299</v>
      </c>
      <c r="I740" s="20" t="s">
        <v>822</v>
      </c>
      <c r="J740" s="21">
        <f t="shared" ca="1" si="22"/>
        <v>896</v>
      </c>
      <c r="K740" s="20" t="str">
        <f t="shared" ca="1" si="23"/>
        <v>OK</v>
      </c>
    </row>
    <row r="741" spans="1:11" x14ac:dyDescent="0.3">
      <c r="A741" s="18" t="s">
        <v>748</v>
      </c>
      <c r="B741" s="18" t="s">
        <v>810</v>
      </c>
      <c r="C741" s="19">
        <v>45007</v>
      </c>
      <c r="D741" s="19">
        <v>45037</v>
      </c>
      <c r="E741" s="17">
        <v>3087.9</v>
      </c>
      <c r="F741" s="20" t="s">
        <v>815</v>
      </c>
      <c r="G741" s="20" t="s">
        <v>821</v>
      </c>
      <c r="H741" s="22">
        <v>45037</v>
      </c>
      <c r="I741" s="20" t="s">
        <v>822</v>
      </c>
      <c r="J741" s="21">
        <f t="shared" ca="1" si="22"/>
        <v>1158</v>
      </c>
      <c r="K741" s="20" t="str">
        <f t="shared" ca="1" si="23"/>
        <v>OK</v>
      </c>
    </row>
    <row r="742" spans="1:11" x14ac:dyDescent="0.3">
      <c r="A742" s="18" t="s">
        <v>749</v>
      </c>
      <c r="B742" s="18" t="s">
        <v>811</v>
      </c>
      <c r="C742" s="19">
        <v>45183</v>
      </c>
      <c r="D742" s="19">
        <v>45213</v>
      </c>
      <c r="E742" s="17">
        <v>3956.78</v>
      </c>
      <c r="F742" s="20" t="s">
        <v>815</v>
      </c>
      <c r="G742" s="20" t="s">
        <v>821</v>
      </c>
      <c r="H742" s="22">
        <v>45213</v>
      </c>
      <c r="I742" s="20" t="s">
        <v>822</v>
      </c>
      <c r="J742" s="21">
        <f t="shared" ca="1" si="22"/>
        <v>982</v>
      </c>
      <c r="K742" s="20" t="str">
        <f t="shared" ca="1" si="23"/>
        <v>OK</v>
      </c>
    </row>
    <row r="743" spans="1:11" x14ac:dyDescent="0.3">
      <c r="A743" s="18" t="s">
        <v>750</v>
      </c>
      <c r="B743" s="18" t="s">
        <v>810</v>
      </c>
      <c r="C743" s="19">
        <v>45222</v>
      </c>
      <c r="D743" s="19">
        <v>45252</v>
      </c>
      <c r="E743" s="17">
        <v>1173.72</v>
      </c>
      <c r="F743" s="20" t="s">
        <v>815</v>
      </c>
      <c r="G743" s="20" t="s">
        <v>821</v>
      </c>
      <c r="H743" s="22">
        <v>45252</v>
      </c>
      <c r="I743" s="20" t="s">
        <v>822</v>
      </c>
      <c r="J743" s="21">
        <f t="shared" ca="1" si="22"/>
        <v>943</v>
      </c>
      <c r="K743" s="20" t="str">
        <f t="shared" ca="1" si="23"/>
        <v>OK</v>
      </c>
    </row>
    <row r="744" spans="1:11" x14ac:dyDescent="0.3">
      <c r="A744" s="18" t="s">
        <v>751</v>
      </c>
      <c r="B744" s="18" t="s">
        <v>810</v>
      </c>
      <c r="C744" s="19">
        <v>45359</v>
      </c>
      <c r="D744" s="19">
        <v>45389</v>
      </c>
      <c r="E744" s="17">
        <v>3885.28</v>
      </c>
      <c r="F744" s="20" t="s">
        <v>816</v>
      </c>
      <c r="G744" s="20" t="s">
        <v>821</v>
      </c>
      <c r="H744" s="22">
        <v>45389</v>
      </c>
      <c r="I744" s="20" t="s">
        <v>822</v>
      </c>
      <c r="J744" s="21">
        <f t="shared" ca="1" si="22"/>
        <v>806</v>
      </c>
      <c r="K744" s="20" t="str">
        <f t="shared" ca="1" si="23"/>
        <v>OK</v>
      </c>
    </row>
    <row r="745" spans="1:11" x14ac:dyDescent="0.3">
      <c r="A745" s="18" t="s">
        <v>752</v>
      </c>
      <c r="B745" s="18" t="s">
        <v>812</v>
      </c>
      <c r="C745" s="19">
        <v>45268</v>
      </c>
      <c r="D745" s="19">
        <v>45298</v>
      </c>
      <c r="E745" s="17">
        <v>211.34</v>
      </c>
      <c r="F745" s="20" t="s">
        <v>817</v>
      </c>
      <c r="G745" s="20" t="s">
        <v>819</v>
      </c>
      <c r="H745" s="20" t="s">
        <v>823</v>
      </c>
      <c r="I745" s="20" t="s">
        <v>822</v>
      </c>
      <c r="J745" s="21">
        <f t="shared" ca="1" si="22"/>
        <v>897</v>
      </c>
      <c r="K745" s="20" t="str">
        <f t="shared" ca="1" si="23"/>
        <v>Overdue</v>
      </c>
    </row>
    <row r="746" spans="1:11" x14ac:dyDescent="0.3">
      <c r="A746" s="18" t="s">
        <v>753</v>
      </c>
      <c r="B746" s="18" t="s">
        <v>813</v>
      </c>
      <c r="C746" s="19">
        <v>44983</v>
      </c>
      <c r="D746" s="19">
        <v>45013</v>
      </c>
      <c r="E746" s="17">
        <v>1345.89</v>
      </c>
      <c r="F746" s="20" t="s">
        <v>818</v>
      </c>
      <c r="G746" s="20" t="s">
        <v>821</v>
      </c>
      <c r="H746" s="22">
        <v>45013</v>
      </c>
      <c r="I746" s="20" t="s">
        <v>822</v>
      </c>
      <c r="J746" s="21">
        <f t="shared" ca="1" si="22"/>
        <v>1182</v>
      </c>
      <c r="K746" s="20" t="str">
        <f t="shared" ca="1" si="23"/>
        <v>OK</v>
      </c>
    </row>
    <row r="747" spans="1:11" x14ac:dyDescent="0.3">
      <c r="A747" s="18" t="s">
        <v>754</v>
      </c>
      <c r="B747" s="18" t="s">
        <v>811</v>
      </c>
      <c r="C747" s="19">
        <v>45283</v>
      </c>
      <c r="D747" s="19">
        <v>45313</v>
      </c>
      <c r="E747" s="17">
        <v>4777.7299999999996</v>
      </c>
      <c r="F747" s="20" t="s">
        <v>814</v>
      </c>
      <c r="G747" s="20" t="s">
        <v>820</v>
      </c>
      <c r="H747" s="20" t="s">
        <v>823</v>
      </c>
      <c r="I747" s="20" t="s">
        <v>822</v>
      </c>
      <c r="J747" s="21">
        <f t="shared" ca="1" si="22"/>
        <v>882</v>
      </c>
      <c r="K747" s="20" t="str">
        <f t="shared" ca="1" si="23"/>
        <v>Overdue</v>
      </c>
    </row>
    <row r="748" spans="1:11" x14ac:dyDescent="0.3">
      <c r="A748" s="18" t="s">
        <v>755</v>
      </c>
      <c r="B748" s="18" t="s">
        <v>809</v>
      </c>
      <c r="C748" s="19">
        <v>45194</v>
      </c>
      <c r="D748" s="19">
        <v>45224</v>
      </c>
      <c r="E748" s="17">
        <v>3137.33</v>
      </c>
      <c r="F748" s="20" t="s">
        <v>818</v>
      </c>
      <c r="G748" s="20" t="s">
        <v>819</v>
      </c>
      <c r="H748" s="20" t="s">
        <v>823</v>
      </c>
      <c r="I748" s="20" t="s">
        <v>822</v>
      </c>
      <c r="J748" s="21">
        <f t="shared" ca="1" si="22"/>
        <v>971</v>
      </c>
      <c r="K748" s="20" t="str">
        <f t="shared" ca="1" si="23"/>
        <v>Overdue</v>
      </c>
    </row>
    <row r="749" spans="1:11" x14ac:dyDescent="0.3">
      <c r="A749" s="18" t="s">
        <v>756</v>
      </c>
      <c r="B749" s="18" t="s">
        <v>812</v>
      </c>
      <c r="C749" s="19">
        <v>45488</v>
      </c>
      <c r="D749" s="19">
        <v>45518</v>
      </c>
      <c r="E749" s="17">
        <v>4831.5200000000004</v>
      </c>
      <c r="F749" s="20" t="s">
        <v>814</v>
      </c>
      <c r="G749" s="20" t="s">
        <v>820</v>
      </c>
      <c r="H749" s="20" t="s">
        <v>823</v>
      </c>
      <c r="I749" s="20" t="s">
        <v>822</v>
      </c>
      <c r="J749" s="21">
        <f t="shared" ca="1" si="22"/>
        <v>677</v>
      </c>
      <c r="K749" s="20" t="str">
        <f t="shared" ca="1" si="23"/>
        <v>Overdue</v>
      </c>
    </row>
    <row r="750" spans="1:11" x14ac:dyDescent="0.3">
      <c r="A750" s="18" t="s">
        <v>757</v>
      </c>
      <c r="B750" s="18" t="s">
        <v>809</v>
      </c>
      <c r="C750" s="19">
        <v>45321</v>
      </c>
      <c r="D750" s="19">
        <v>45351</v>
      </c>
      <c r="E750" s="17">
        <v>1343.46</v>
      </c>
      <c r="F750" s="20" t="s">
        <v>815</v>
      </c>
      <c r="G750" s="20" t="s">
        <v>820</v>
      </c>
      <c r="H750" s="20" t="s">
        <v>823</v>
      </c>
      <c r="I750" s="20" t="s">
        <v>822</v>
      </c>
      <c r="J750" s="21">
        <f t="shared" ca="1" si="22"/>
        <v>844</v>
      </c>
      <c r="K750" s="20" t="str">
        <f t="shared" ca="1" si="23"/>
        <v>Overdue</v>
      </c>
    </row>
    <row r="751" spans="1:11" x14ac:dyDescent="0.3">
      <c r="A751" s="18" t="s">
        <v>758</v>
      </c>
      <c r="B751" s="18" t="s">
        <v>809</v>
      </c>
      <c r="C751" s="19">
        <v>44993</v>
      </c>
      <c r="D751" s="19">
        <v>45023</v>
      </c>
      <c r="E751" s="17">
        <v>3815.88</v>
      </c>
      <c r="F751" s="20" t="s">
        <v>815</v>
      </c>
      <c r="G751" s="20" t="s">
        <v>820</v>
      </c>
      <c r="H751" s="20" t="s">
        <v>823</v>
      </c>
      <c r="I751" s="20" t="s">
        <v>822</v>
      </c>
      <c r="J751" s="21">
        <f t="shared" ca="1" si="22"/>
        <v>1172</v>
      </c>
      <c r="K751" s="20" t="str">
        <f t="shared" ca="1" si="23"/>
        <v>Overdue</v>
      </c>
    </row>
    <row r="752" spans="1:11" x14ac:dyDescent="0.3">
      <c r="A752" s="18" t="s">
        <v>759</v>
      </c>
      <c r="B752" s="18" t="s">
        <v>811</v>
      </c>
      <c r="C752" s="19">
        <v>45054</v>
      </c>
      <c r="D752" s="19">
        <v>45084</v>
      </c>
      <c r="E752" s="17">
        <v>3428.98</v>
      </c>
      <c r="F752" s="20" t="s">
        <v>816</v>
      </c>
      <c r="G752" s="20" t="s">
        <v>821</v>
      </c>
      <c r="H752" s="22">
        <v>45084</v>
      </c>
      <c r="I752" s="20" t="s">
        <v>822</v>
      </c>
      <c r="J752" s="21">
        <f t="shared" ca="1" si="22"/>
        <v>1111</v>
      </c>
      <c r="K752" s="20" t="str">
        <f t="shared" ca="1" si="23"/>
        <v>OK</v>
      </c>
    </row>
    <row r="753" spans="1:11" x14ac:dyDescent="0.3">
      <c r="A753" s="18" t="s">
        <v>760</v>
      </c>
      <c r="B753" s="18" t="s">
        <v>809</v>
      </c>
      <c r="C753" s="19">
        <v>45395</v>
      </c>
      <c r="D753" s="19">
        <v>45425</v>
      </c>
      <c r="E753" s="17">
        <v>1265.55</v>
      </c>
      <c r="F753" s="20" t="s">
        <v>816</v>
      </c>
      <c r="G753" s="20" t="s">
        <v>820</v>
      </c>
      <c r="H753" s="20" t="s">
        <v>823</v>
      </c>
      <c r="I753" s="20" t="s">
        <v>822</v>
      </c>
      <c r="J753" s="21">
        <f t="shared" ca="1" si="22"/>
        <v>770</v>
      </c>
      <c r="K753" s="20" t="str">
        <f t="shared" ca="1" si="23"/>
        <v>Overdue</v>
      </c>
    </row>
    <row r="754" spans="1:11" x14ac:dyDescent="0.3">
      <c r="A754" s="18" t="s">
        <v>761</v>
      </c>
      <c r="B754" s="18" t="s">
        <v>812</v>
      </c>
      <c r="C754" s="19">
        <v>45262</v>
      </c>
      <c r="D754" s="19">
        <v>45292</v>
      </c>
      <c r="E754" s="17">
        <v>1377.49</v>
      </c>
      <c r="F754" s="20" t="s">
        <v>818</v>
      </c>
      <c r="G754" s="20" t="s">
        <v>821</v>
      </c>
      <c r="H754" s="22">
        <v>45292</v>
      </c>
      <c r="I754" s="20" t="s">
        <v>822</v>
      </c>
      <c r="J754" s="21">
        <f t="shared" ca="1" si="22"/>
        <v>903</v>
      </c>
      <c r="K754" s="20" t="str">
        <f t="shared" ca="1" si="23"/>
        <v>OK</v>
      </c>
    </row>
    <row r="755" spans="1:11" x14ac:dyDescent="0.3">
      <c r="A755" s="18" t="s">
        <v>762</v>
      </c>
      <c r="B755" s="18" t="s">
        <v>809</v>
      </c>
      <c r="C755" s="19">
        <v>45535</v>
      </c>
      <c r="D755" s="19">
        <v>45565</v>
      </c>
      <c r="E755" s="17">
        <v>2125.3000000000002</v>
      </c>
      <c r="F755" s="20" t="s">
        <v>814</v>
      </c>
      <c r="G755" s="20" t="s">
        <v>820</v>
      </c>
      <c r="H755" s="20" t="s">
        <v>823</v>
      </c>
      <c r="I755" s="20" t="s">
        <v>822</v>
      </c>
      <c r="J755" s="21">
        <f t="shared" ca="1" si="22"/>
        <v>630</v>
      </c>
      <c r="K755" s="20" t="str">
        <f t="shared" ca="1" si="23"/>
        <v>Overdue</v>
      </c>
    </row>
    <row r="756" spans="1:11" x14ac:dyDescent="0.3">
      <c r="A756" s="18" t="s">
        <v>763</v>
      </c>
      <c r="B756" s="18" t="s">
        <v>810</v>
      </c>
      <c r="C756" s="19">
        <v>45408</v>
      </c>
      <c r="D756" s="19">
        <v>45438</v>
      </c>
      <c r="E756" s="17">
        <v>2582.08</v>
      </c>
      <c r="F756" s="20" t="s">
        <v>816</v>
      </c>
      <c r="G756" s="20" t="s">
        <v>821</v>
      </c>
      <c r="H756" s="22">
        <v>45438</v>
      </c>
      <c r="I756" s="20" t="s">
        <v>822</v>
      </c>
      <c r="J756" s="21">
        <f t="shared" ca="1" si="22"/>
        <v>757</v>
      </c>
      <c r="K756" s="20" t="str">
        <f t="shared" ca="1" si="23"/>
        <v>OK</v>
      </c>
    </row>
    <row r="757" spans="1:11" x14ac:dyDescent="0.3">
      <c r="A757" s="18" t="s">
        <v>764</v>
      </c>
      <c r="B757" s="18" t="s">
        <v>813</v>
      </c>
      <c r="C757" s="19">
        <v>45707</v>
      </c>
      <c r="D757" s="19">
        <v>45737</v>
      </c>
      <c r="E757" s="17">
        <v>1722.33</v>
      </c>
      <c r="F757" s="20" t="s">
        <v>816</v>
      </c>
      <c r="G757" s="20" t="s">
        <v>821</v>
      </c>
      <c r="H757" s="22">
        <v>45737</v>
      </c>
      <c r="I757" s="20" t="s">
        <v>822</v>
      </c>
      <c r="J757" s="21">
        <f t="shared" ca="1" si="22"/>
        <v>458</v>
      </c>
      <c r="K757" s="20" t="str">
        <f t="shared" ca="1" si="23"/>
        <v>OK</v>
      </c>
    </row>
    <row r="758" spans="1:11" x14ac:dyDescent="0.3">
      <c r="A758" s="18" t="s">
        <v>765</v>
      </c>
      <c r="B758" s="18" t="s">
        <v>813</v>
      </c>
      <c r="C758" s="19">
        <v>45613</v>
      </c>
      <c r="D758" s="19">
        <v>45643</v>
      </c>
      <c r="E758" s="17">
        <v>4374.09</v>
      </c>
      <c r="F758" s="20" t="s">
        <v>814</v>
      </c>
      <c r="G758" s="20" t="s">
        <v>820</v>
      </c>
      <c r="H758" s="20" t="s">
        <v>823</v>
      </c>
      <c r="I758" s="20" t="s">
        <v>822</v>
      </c>
      <c r="J758" s="21">
        <f t="shared" ca="1" si="22"/>
        <v>552</v>
      </c>
      <c r="K758" s="20" t="str">
        <f t="shared" ca="1" si="23"/>
        <v>Overdue</v>
      </c>
    </row>
    <row r="759" spans="1:11" x14ac:dyDescent="0.3">
      <c r="A759" s="18" t="s">
        <v>766</v>
      </c>
      <c r="B759" s="18" t="s">
        <v>809</v>
      </c>
      <c r="C759" s="19">
        <v>45162</v>
      </c>
      <c r="D759" s="19">
        <v>45192</v>
      </c>
      <c r="E759" s="17">
        <v>3289.59</v>
      </c>
      <c r="F759" s="20" t="s">
        <v>815</v>
      </c>
      <c r="G759" s="20" t="s">
        <v>819</v>
      </c>
      <c r="H759" s="20" t="s">
        <v>823</v>
      </c>
      <c r="I759" s="20" t="s">
        <v>822</v>
      </c>
      <c r="J759" s="21">
        <f t="shared" ca="1" si="22"/>
        <v>1003</v>
      </c>
      <c r="K759" s="20" t="str">
        <f t="shared" ca="1" si="23"/>
        <v>Overdue</v>
      </c>
    </row>
    <row r="760" spans="1:11" x14ac:dyDescent="0.3">
      <c r="A760" s="18" t="s">
        <v>767</v>
      </c>
      <c r="B760" s="18" t="s">
        <v>811</v>
      </c>
      <c r="C760" s="19">
        <v>45301</v>
      </c>
      <c r="D760" s="19">
        <v>45331</v>
      </c>
      <c r="E760" s="17">
        <v>2204.2800000000002</v>
      </c>
      <c r="F760" s="20" t="s">
        <v>817</v>
      </c>
      <c r="G760" s="20" t="s">
        <v>821</v>
      </c>
      <c r="H760" s="22">
        <v>45331</v>
      </c>
      <c r="I760" s="20" t="s">
        <v>822</v>
      </c>
      <c r="J760" s="21">
        <f t="shared" ca="1" si="22"/>
        <v>864</v>
      </c>
      <c r="K760" s="20" t="str">
        <f t="shared" ca="1" si="23"/>
        <v>OK</v>
      </c>
    </row>
    <row r="761" spans="1:11" x14ac:dyDescent="0.3">
      <c r="A761" s="18" t="s">
        <v>768</v>
      </c>
      <c r="B761" s="18" t="s">
        <v>811</v>
      </c>
      <c r="C761" s="19">
        <v>45340</v>
      </c>
      <c r="D761" s="19">
        <v>45370</v>
      </c>
      <c r="E761" s="17">
        <v>3457.45</v>
      </c>
      <c r="F761" s="20" t="s">
        <v>816</v>
      </c>
      <c r="G761" s="20" t="s">
        <v>819</v>
      </c>
      <c r="H761" s="20" t="s">
        <v>823</v>
      </c>
      <c r="I761" s="20" t="s">
        <v>822</v>
      </c>
      <c r="J761" s="21">
        <f t="shared" ca="1" si="22"/>
        <v>825</v>
      </c>
      <c r="K761" s="20" t="str">
        <f t="shared" ca="1" si="23"/>
        <v>Overdue</v>
      </c>
    </row>
    <row r="762" spans="1:11" x14ac:dyDescent="0.3">
      <c r="A762" s="18" t="s">
        <v>769</v>
      </c>
      <c r="B762" s="18" t="s">
        <v>813</v>
      </c>
      <c r="C762" s="19">
        <v>45054</v>
      </c>
      <c r="D762" s="19">
        <v>45084</v>
      </c>
      <c r="E762" s="17">
        <v>2571.9</v>
      </c>
      <c r="F762" s="20" t="s">
        <v>817</v>
      </c>
      <c r="G762" s="20" t="s">
        <v>821</v>
      </c>
      <c r="H762" s="22">
        <v>45084</v>
      </c>
      <c r="I762" s="20" t="s">
        <v>822</v>
      </c>
      <c r="J762" s="21">
        <f t="shared" ca="1" si="22"/>
        <v>1111</v>
      </c>
      <c r="K762" s="20" t="str">
        <f t="shared" ca="1" si="23"/>
        <v>OK</v>
      </c>
    </row>
    <row r="763" spans="1:11" x14ac:dyDescent="0.3">
      <c r="A763" s="18" t="s">
        <v>770</v>
      </c>
      <c r="B763" s="18" t="s">
        <v>809</v>
      </c>
      <c r="C763" s="19">
        <v>45618</v>
      </c>
      <c r="D763" s="19">
        <v>45648</v>
      </c>
      <c r="E763" s="17">
        <v>2573.94</v>
      </c>
      <c r="F763" s="20" t="s">
        <v>814</v>
      </c>
      <c r="G763" s="20" t="s">
        <v>821</v>
      </c>
      <c r="H763" s="22">
        <v>45648</v>
      </c>
      <c r="I763" s="20" t="s">
        <v>822</v>
      </c>
      <c r="J763" s="21">
        <f t="shared" ca="1" si="22"/>
        <v>547</v>
      </c>
      <c r="K763" s="20" t="str">
        <f t="shared" ca="1" si="23"/>
        <v>OK</v>
      </c>
    </row>
    <row r="764" spans="1:11" x14ac:dyDescent="0.3">
      <c r="A764" s="18" t="s">
        <v>771</v>
      </c>
      <c r="B764" s="18" t="s">
        <v>809</v>
      </c>
      <c r="C764" s="19">
        <v>45679</v>
      </c>
      <c r="D764" s="19">
        <v>45709</v>
      </c>
      <c r="E764" s="17">
        <v>3760.26</v>
      </c>
      <c r="F764" s="20" t="s">
        <v>817</v>
      </c>
      <c r="G764" s="20" t="s">
        <v>819</v>
      </c>
      <c r="H764" s="20" t="s">
        <v>823</v>
      </c>
      <c r="I764" s="20" t="s">
        <v>822</v>
      </c>
      <c r="J764" s="21">
        <f t="shared" ca="1" si="22"/>
        <v>486</v>
      </c>
      <c r="K764" s="20" t="str">
        <f t="shared" ca="1" si="23"/>
        <v>Overdue</v>
      </c>
    </row>
    <row r="765" spans="1:11" x14ac:dyDescent="0.3">
      <c r="A765" s="18" t="s">
        <v>772</v>
      </c>
      <c r="B765" s="18" t="s">
        <v>813</v>
      </c>
      <c r="C765" s="19">
        <v>45385</v>
      </c>
      <c r="D765" s="19">
        <v>45415</v>
      </c>
      <c r="E765" s="17">
        <v>645.44000000000005</v>
      </c>
      <c r="F765" s="20" t="s">
        <v>817</v>
      </c>
      <c r="G765" s="20" t="s">
        <v>821</v>
      </c>
      <c r="H765" s="22">
        <v>45415</v>
      </c>
      <c r="I765" s="20" t="s">
        <v>822</v>
      </c>
      <c r="J765" s="21">
        <f t="shared" ca="1" si="22"/>
        <v>780</v>
      </c>
      <c r="K765" s="20" t="str">
        <f t="shared" ca="1" si="23"/>
        <v>OK</v>
      </c>
    </row>
    <row r="766" spans="1:11" x14ac:dyDescent="0.3">
      <c r="A766" s="18" t="s">
        <v>773</v>
      </c>
      <c r="B766" s="18" t="s">
        <v>813</v>
      </c>
      <c r="C766" s="19">
        <v>45148</v>
      </c>
      <c r="D766" s="19">
        <v>45178</v>
      </c>
      <c r="E766" s="17">
        <v>948.66</v>
      </c>
      <c r="F766" s="20" t="s">
        <v>816</v>
      </c>
      <c r="G766" s="20" t="s">
        <v>821</v>
      </c>
      <c r="H766" s="22">
        <v>45178</v>
      </c>
      <c r="I766" s="20" t="s">
        <v>822</v>
      </c>
      <c r="J766" s="21">
        <f t="shared" ca="1" si="22"/>
        <v>1017</v>
      </c>
      <c r="K766" s="20" t="str">
        <f t="shared" ca="1" si="23"/>
        <v>OK</v>
      </c>
    </row>
    <row r="767" spans="1:11" x14ac:dyDescent="0.3">
      <c r="A767" s="18" t="s">
        <v>774</v>
      </c>
      <c r="B767" s="18" t="s">
        <v>813</v>
      </c>
      <c r="C767" s="19">
        <v>45070</v>
      </c>
      <c r="D767" s="19">
        <v>45100</v>
      </c>
      <c r="E767" s="17">
        <v>4936.8</v>
      </c>
      <c r="F767" s="20" t="s">
        <v>818</v>
      </c>
      <c r="G767" s="20" t="s">
        <v>821</v>
      </c>
      <c r="H767" s="22">
        <v>45100</v>
      </c>
      <c r="I767" s="20" t="s">
        <v>822</v>
      </c>
      <c r="J767" s="21">
        <f t="shared" ca="1" si="22"/>
        <v>1095</v>
      </c>
      <c r="K767" s="20" t="str">
        <f t="shared" ca="1" si="23"/>
        <v>OK</v>
      </c>
    </row>
    <row r="768" spans="1:11" x14ac:dyDescent="0.3">
      <c r="A768" s="18" t="s">
        <v>775</v>
      </c>
      <c r="B768" s="18" t="s">
        <v>811</v>
      </c>
      <c r="C768" s="19">
        <v>44988</v>
      </c>
      <c r="D768" s="19">
        <v>45018</v>
      </c>
      <c r="E768" s="17">
        <v>4286.67</v>
      </c>
      <c r="F768" s="20" t="s">
        <v>817</v>
      </c>
      <c r="G768" s="20" t="s">
        <v>821</v>
      </c>
      <c r="H768" s="22">
        <v>45018</v>
      </c>
      <c r="I768" s="20" t="s">
        <v>822</v>
      </c>
      <c r="J768" s="21">
        <f t="shared" ca="1" si="22"/>
        <v>1177</v>
      </c>
      <c r="K768" s="20" t="str">
        <f t="shared" ca="1" si="23"/>
        <v>OK</v>
      </c>
    </row>
    <row r="769" spans="1:11" x14ac:dyDescent="0.3">
      <c r="A769" s="18" t="s">
        <v>776</v>
      </c>
      <c r="B769" s="18" t="s">
        <v>810</v>
      </c>
      <c r="C769" s="19">
        <v>45263</v>
      </c>
      <c r="D769" s="19">
        <v>45293</v>
      </c>
      <c r="E769" s="17">
        <v>4346.29</v>
      </c>
      <c r="F769" s="20" t="s">
        <v>816</v>
      </c>
      <c r="G769" s="20" t="s">
        <v>820</v>
      </c>
      <c r="H769" s="20" t="s">
        <v>823</v>
      </c>
      <c r="I769" s="20" t="s">
        <v>822</v>
      </c>
      <c r="J769" s="21">
        <f t="shared" ca="1" si="22"/>
        <v>902</v>
      </c>
      <c r="K769" s="20" t="str">
        <f t="shared" ca="1" si="23"/>
        <v>Overdue</v>
      </c>
    </row>
    <row r="770" spans="1:11" x14ac:dyDescent="0.3">
      <c r="A770" s="18" t="s">
        <v>777</v>
      </c>
      <c r="B770" s="18" t="s">
        <v>810</v>
      </c>
      <c r="C770" s="19">
        <v>45659</v>
      </c>
      <c r="D770" s="19">
        <v>45689</v>
      </c>
      <c r="E770" s="17">
        <v>2978.71</v>
      </c>
      <c r="F770" s="20" t="s">
        <v>816</v>
      </c>
      <c r="G770" s="20" t="s">
        <v>820</v>
      </c>
      <c r="H770" s="20" t="s">
        <v>823</v>
      </c>
      <c r="I770" s="20" t="s">
        <v>822</v>
      </c>
      <c r="J770" s="21">
        <f t="shared" ref="J770:J801" ca="1" si="24">TODAY()-D770</f>
        <v>506</v>
      </c>
      <c r="K770" s="20" t="str">
        <f t="shared" ref="K770:K801" ca="1" si="25">IF(AND(TODAY()&gt;D770,G770&lt;&gt;"Paid"),"Overdue","OK")</f>
        <v>Overdue</v>
      </c>
    </row>
    <row r="771" spans="1:11" x14ac:dyDescent="0.3">
      <c r="A771" s="18" t="s">
        <v>778</v>
      </c>
      <c r="B771" s="18" t="s">
        <v>811</v>
      </c>
      <c r="C771" s="19">
        <v>45752</v>
      </c>
      <c r="D771" s="19">
        <v>45782</v>
      </c>
      <c r="E771" s="17">
        <v>3489.97</v>
      </c>
      <c r="F771" s="20" t="s">
        <v>815</v>
      </c>
      <c r="G771" s="20" t="s">
        <v>819</v>
      </c>
      <c r="H771" s="20" t="s">
        <v>823</v>
      </c>
      <c r="I771" s="20" t="s">
        <v>822</v>
      </c>
      <c r="J771" s="21">
        <f t="shared" ca="1" si="24"/>
        <v>413</v>
      </c>
      <c r="K771" s="20" t="str">
        <f t="shared" ca="1" si="25"/>
        <v>Overdue</v>
      </c>
    </row>
    <row r="772" spans="1:11" x14ac:dyDescent="0.3">
      <c r="A772" s="18" t="s">
        <v>779</v>
      </c>
      <c r="B772" s="18" t="s">
        <v>812</v>
      </c>
      <c r="C772" s="19">
        <v>45648</v>
      </c>
      <c r="D772" s="19">
        <v>45678</v>
      </c>
      <c r="E772" s="17">
        <v>290.89999999999998</v>
      </c>
      <c r="F772" s="20" t="s">
        <v>814</v>
      </c>
      <c r="G772" s="20" t="s">
        <v>819</v>
      </c>
      <c r="H772" s="20" t="s">
        <v>823</v>
      </c>
      <c r="I772" s="20" t="s">
        <v>822</v>
      </c>
      <c r="J772" s="21">
        <f t="shared" ca="1" si="24"/>
        <v>517</v>
      </c>
      <c r="K772" s="20" t="str">
        <f t="shared" ca="1" si="25"/>
        <v>Overdue</v>
      </c>
    </row>
    <row r="773" spans="1:11" x14ac:dyDescent="0.3">
      <c r="A773" s="18" t="s">
        <v>780</v>
      </c>
      <c r="B773" s="18" t="s">
        <v>813</v>
      </c>
      <c r="C773" s="19">
        <v>45725</v>
      </c>
      <c r="D773" s="19">
        <v>45755</v>
      </c>
      <c r="E773" s="17">
        <v>2592.92</v>
      </c>
      <c r="F773" s="20" t="s">
        <v>816</v>
      </c>
      <c r="G773" s="20" t="s">
        <v>820</v>
      </c>
      <c r="H773" s="20" t="s">
        <v>823</v>
      </c>
      <c r="I773" s="20" t="s">
        <v>822</v>
      </c>
      <c r="J773" s="21">
        <f t="shared" ca="1" si="24"/>
        <v>440</v>
      </c>
      <c r="K773" s="20" t="str">
        <f t="shared" ca="1" si="25"/>
        <v>Overdue</v>
      </c>
    </row>
    <row r="774" spans="1:11" x14ac:dyDescent="0.3">
      <c r="A774" s="18" t="s">
        <v>781</v>
      </c>
      <c r="B774" s="18" t="s">
        <v>811</v>
      </c>
      <c r="C774" s="19">
        <v>45505</v>
      </c>
      <c r="D774" s="19">
        <v>45535</v>
      </c>
      <c r="E774" s="17">
        <v>4904.8599999999997</v>
      </c>
      <c r="F774" s="20" t="s">
        <v>815</v>
      </c>
      <c r="G774" s="20" t="s">
        <v>819</v>
      </c>
      <c r="H774" s="20" t="s">
        <v>823</v>
      </c>
      <c r="I774" s="20" t="s">
        <v>822</v>
      </c>
      <c r="J774" s="21">
        <f t="shared" ca="1" si="24"/>
        <v>660</v>
      </c>
      <c r="K774" s="20" t="str">
        <f t="shared" ca="1" si="25"/>
        <v>Overdue</v>
      </c>
    </row>
    <row r="775" spans="1:11" x14ac:dyDescent="0.3">
      <c r="A775" s="18" t="s">
        <v>782</v>
      </c>
      <c r="B775" s="18" t="s">
        <v>811</v>
      </c>
      <c r="C775" s="19">
        <v>45738</v>
      </c>
      <c r="D775" s="19">
        <v>45768</v>
      </c>
      <c r="E775" s="17">
        <v>2807.72</v>
      </c>
      <c r="F775" s="20" t="s">
        <v>816</v>
      </c>
      <c r="G775" s="20" t="s">
        <v>820</v>
      </c>
      <c r="H775" s="20" t="s">
        <v>823</v>
      </c>
      <c r="I775" s="20" t="s">
        <v>822</v>
      </c>
      <c r="J775" s="21">
        <f t="shared" ca="1" si="24"/>
        <v>427</v>
      </c>
      <c r="K775" s="20" t="str">
        <f t="shared" ca="1" si="25"/>
        <v>Overdue</v>
      </c>
    </row>
    <row r="776" spans="1:11" x14ac:dyDescent="0.3">
      <c r="A776" s="18" t="s">
        <v>783</v>
      </c>
      <c r="B776" s="18" t="s">
        <v>812</v>
      </c>
      <c r="C776" s="19">
        <v>45716</v>
      </c>
      <c r="D776" s="19">
        <v>45746</v>
      </c>
      <c r="E776" s="17">
        <v>3910.59</v>
      </c>
      <c r="F776" s="20" t="s">
        <v>814</v>
      </c>
      <c r="G776" s="20" t="s">
        <v>819</v>
      </c>
      <c r="H776" s="20" t="s">
        <v>823</v>
      </c>
      <c r="I776" s="20" t="s">
        <v>822</v>
      </c>
      <c r="J776" s="21">
        <f t="shared" ca="1" si="24"/>
        <v>449</v>
      </c>
      <c r="K776" s="20" t="str">
        <f t="shared" ca="1" si="25"/>
        <v>Overdue</v>
      </c>
    </row>
    <row r="777" spans="1:11" x14ac:dyDescent="0.3">
      <c r="A777" s="18" t="s">
        <v>784</v>
      </c>
      <c r="B777" s="18" t="s">
        <v>812</v>
      </c>
      <c r="C777" s="19">
        <v>45083</v>
      </c>
      <c r="D777" s="19">
        <v>45113</v>
      </c>
      <c r="E777" s="17">
        <v>1583.9</v>
      </c>
      <c r="F777" s="20" t="s">
        <v>814</v>
      </c>
      <c r="G777" s="20" t="s">
        <v>820</v>
      </c>
      <c r="H777" s="20" t="s">
        <v>823</v>
      </c>
      <c r="I777" s="20" t="s">
        <v>822</v>
      </c>
      <c r="J777" s="21">
        <f t="shared" ca="1" si="24"/>
        <v>1082</v>
      </c>
      <c r="K777" s="20" t="str">
        <f t="shared" ca="1" si="25"/>
        <v>Overdue</v>
      </c>
    </row>
    <row r="778" spans="1:11" x14ac:dyDescent="0.3">
      <c r="A778" s="18" t="s">
        <v>785</v>
      </c>
      <c r="B778" s="18" t="s">
        <v>809</v>
      </c>
      <c r="C778" s="19">
        <v>45723</v>
      </c>
      <c r="D778" s="19">
        <v>45753</v>
      </c>
      <c r="E778" s="17">
        <v>734.99</v>
      </c>
      <c r="F778" s="20" t="s">
        <v>816</v>
      </c>
      <c r="G778" s="20" t="s">
        <v>820</v>
      </c>
      <c r="H778" s="20" t="s">
        <v>823</v>
      </c>
      <c r="I778" s="20" t="s">
        <v>822</v>
      </c>
      <c r="J778" s="21">
        <f t="shared" ca="1" si="24"/>
        <v>442</v>
      </c>
      <c r="K778" s="20" t="str">
        <f t="shared" ca="1" si="25"/>
        <v>Overdue</v>
      </c>
    </row>
    <row r="779" spans="1:11" x14ac:dyDescent="0.3">
      <c r="A779" s="18" t="s">
        <v>786</v>
      </c>
      <c r="B779" s="18" t="s">
        <v>811</v>
      </c>
      <c r="C779" s="19">
        <v>45315</v>
      </c>
      <c r="D779" s="19">
        <v>45345</v>
      </c>
      <c r="E779" s="17">
        <v>2547.7800000000002</v>
      </c>
      <c r="F779" s="20" t="s">
        <v>818</v>
      </c>
      <c r="G779" s="20" t="s">
        <v>819</v>
      </c>
      <c r="H779" s="20" t="s">
        <v>823</v>
      </c>
      <c r="I779" s="20" t="s">
        <v>822</v>
      </c>
      <c r="J779" s="21">
        <f t="shared" ca="1" si="24"/>
        <v>850</v>
      </c>
      <c r="K779" s="20" t="str">
        <f t="shared" ca="1" si="25"/>
        <v>Overdue</v>
      </c>
    </row>
    <row r="780" spans="1:11" x14ac:dyDescent="0.3">
      <c r="A780" s="18" t="s">
        <v>787</v>
      </c>
      <c r="B780" s="18" t="s">
        <v>811</v>
      </c>
      <c r="C780" s="19">
        <v>45608</v>
      </c>
      <c r="D780" s="19">
        <v>45638</v>
      </c>
      <c r="E780" s="17">
        <v>4777.6400000000003</v>
      </c>
      <c r="F780" s="20" t="s">
        <v>818</v>
      </c>
      <c r="G780" s="20" t="s">
        <v>820</v>
      </c>
      <c r="H780" s="20" t="s">
        <v>823</v>
      </c>
      <c r="I780" s="20" t="s">
        <v>822</v>
      </c>
      <c r="J780" s="21">
        <f t="shared" ca="1" si="24"/>
        <v>557</v>
      </c>
      <c r="K780" s="20" t="str">
        <f t="shared" ca="1" si="25"/>
        <v>Overdue</v>
      </c>
    </row>
    <row r="781" spans="1:11" x14ac:dyDescent="0.3">
      <c r="A781" s="18" t="s">
        <v>788</v>
      </c>
      <c r="B781" s="18" t="s">
        <v>810</v>
      </c>
      <c r="C781" s="19">
        <v>45231</v>
      </c>
      <c r="D781" s="19">
        <v>45261</v>
      </c>
      <c r="E781" s="17">
        <v>791.99</v>
      </c>
      <c r="F781" s="20" t="s">
        <v>816</v>
      </c>
      <c r="G781" s="20" t="s">
        <v>821</v>
      </c>
      <c r="H781" s="22">
        <v>45261</v>
      </c>
      <c r="I781" s="20" t="s">
        <v>822</v>
      </c>
      <c r="J781" s="21">
        <f t="shared" ca="1" si="24"/>
        <v>934</v>
      </c>
      <c r="K781" s="20" t="str">
        <f t="shared" ca="1" si="25"/>
        <v>OK</v>
      </c>
    </row>
    <row r="782" spans="1:11" x14ac:dyDescent="0.3">
      <c r="A782" s="18" t="s">
        <v>789</v>
      </c>
      <c r="B782" s="18" t="s">
        <v>811</v>
      </c>
      <c r="C782" s="19">
        <v>45533</v>
      </c>
      <c r="D782" s="19">
        <v>45563</v>
      </c>
      <c r="E782" s="17">
        <v>4963.01</v>
      </c>
      <c r="F782" s="20" t="s">
        <v>817</v>
      </c>
      <c r="G782" s="20" t="s">
        <v>820</v>
      </c>
      <c r="H782" s="20" t="s">
        <v>823</v>
      </c>
      <c r="I782" s="20" t="s">
        <v>822</v>
      </c>
      <c r="J782" s="21">
        <f t="shared" ca="1" si="24"/>
        <v>632</v>
      </c>
      <c r="K782" s="20" t="str">
        <f t="shared" ca="1" si="25"/>
        <v>Overdue</v>
      </c>
    </row>
    <row r="783" spans="1:11" x14ac:dyDescent="0.3">
      <c r="A783" s="18" t="s">
        <v>790</v>
      </c>
      <c r="B783" s="18" t="s">
        <v>809</v>
      </c>
      <c r="C783" s="19">
        <v>45126</v>
      </c>
      <c r="D783" s="19">
        <v>45156</v>
      </c>
      <c r="E783" s="17">
        <v>4539.28</v>
      </c>
      <c r="F783" s="20" t="s">
        <v>816</v>
      </c>
      <c r="G783" s="20" t="s">
        <v>821</v>
      </c>
      <c r="H783" s="22">
        <v>45156</v>
      </c>
      <c r="I783" s="20" t="s">
        <v>822</v>
      </c>
      <c r="J783" s="21">
        <f t="shared" ca="1" si="24"/>
        <v>1039</v>
      </c>
      <c r="K783" s="20" t="str">
        <f t="shared" ca="1" si="25"/>
        <v>OK</v>
      </c>
    </row>
    <row r="784" spans="1:11" x14ac:dyDescent="0.3">
      <c r="A784" s="18" t="s">
        <v>791</v>
      </c>
      <c r="B784" s="18" t="s">
        <v>810</v>
      </c>
      <c r="C784" s="19">
        <v>45615</v>
      </c>
      <c r="D784" s="19">
        <v>45645</v>
      </c>
      <c r="E784" s="17">
        <v>3114.85</v>
      </c>
      <c r="F784" s="20" t="s">
        <v>814</v>
      </c>
      <c r="G784" s="20" t="s">
        <v>820</v>
      </c>
      <c r="H784" s="20" t="s">
        <v>823</v>
      </c>
      <c r="I784" s="20" t="s">
        <v>822</v>
      </c>
      <c r="J784" s="21">
        <f t="shared" ca="1" si="24"/>
        <v>550</v>
      </c>
      <c r="K784" s="20" t="str">
        <f t="shared" ca="1" si="25"/>
        <v>Overdue</v>
      </c>
    </row>
    <row r="785" spans="1:11" x14ac:dyDescent="0.3">
      <c r="A785" s="18" t="s">
        <v>792</v>
      </c>
      <c r="B785" s="18" t="s">
        <v>812</v>
      </c>
      <c r="C785" s="19">
        <v>45768</v>
      </c>
      <c r="D785" s="19">
        <v>45798</v>
      </c>
      <c r="E785" s="17">
        <v>3340.58</v>
      </c>
      <c r="F785" s="20" t="s">
        <v>818</v>
      </c>
      <c r="G785" s="20" t="s">
        <v>821</v>
      </c>
      <c r="H785" s="22">
        <v>45798</v>
      </c>
      <c r="I785" s="20" t="s">
        <v>822</v>
      </c>
      <c r="J785" s="21">
        <f t="shared" ca="1" si="24"/>
        <v>397</v>
      </c>
      <c r="K785" s="20" t="str">
        <f t="shared" ca="1" si="25"/>
        <v>OK</v>
      </c>
    </row>
    <row r="786" spans="1:11" x14ac:dyDescent="0.3">
      <c r="A786" s="18" t="s">
        <v>793</v>
      </c>
      <c r="B786" s="18" t="s">
        <v>811</v>
      </c>
      <c r="C786" s="19">
        <v>45754</v>
      </c>
      <c r="D786" s="19">
        <v>45784</v>
      </c>
      <c r="E786" s="17">
        <v>4187.3</v>
      </c>
      <c r="F786" s="20" t="s">
        <v>818</v>
      </c>
      <c r="G786" s="20" t="s">
        <v>821</v>
      </c>
      <c r="H786" s="22">
        <v>45784</v>
      </c>
      <c r="I786" s="20" t="s">
        <v>822</v>
      </c>
      <c r="J786" s="21">
        <f t="shared" ca="1" si="24"/>
        <v>411</v>
      </c>
      <c r="K786" s="20" t="str">
        <f t="shared" ca="1" si="25"/>
        <v>OK</v>
      </c>
    </row>
    <row r="787" spans="1:11" x14ac:dyDescent="0.3">
      <c r="A787" s="18" t="s">
        <v>794</v>
      </c>
      <c r="B787" s="18" t="s">
        <v>810</v>
      </c>
      <c r="C787" s="19">
        <v>45249</v>
      </c>
      <c r="D787" s="19">
        <v>45279</v>
      </c>
      <c r="E787" s="17">
        <v>4020.64</v>
      </c>
      <c r="F787" s="20" t="s">
        <v>815</v>
      </c>
      <c r="G787" s="20" t="s">
        <v>821</v>
      </c>
      <c r="H787" s="22">
        <v>45279</v>
      </c>
      <c r="I787" s="20" t="s">
        <v>822</v>
      </c>
      <c r="J787" s="21">
        <f t="shared" ca="1" si="24"/>
        <v>916</v>
      </c>
      <c r="K787" s="20" t="str">
        <f t="shared" ca="1" si="25"/>
        <v>OK</v>
      </c>
    </row>
    <row r="788" spans="1:11" x14ac:dyDescent="0.3">
      <c r="A788" s="18" t="s">
        <v>795</v>
      </c>
      <c r="B788" s="18" t="s">
        <v>813</v>
      </c>
      <c r="C788" s="19">
        <v>45687</v>
      </c>
      <c r="D788" s="19">
        <v>45717</v>
      </c>
      <c r="E788" s="17">
        <v>755.89</v>
      </c>
      <c r="F788" s="20" t="s">
        <v>816</v>
      </c>
      <c r="G788" s="20" t="s">
        <v>820</v>
      </c>
      <c r="H788" s="20" t="s">
        <v>823</v>
      </c>
      <c r="I788" s="20" t="s">
        <v>822</v>
      </c>
      <c r="J788" s="21">
        <f t="shared" ca="1" si="24"/>
        <v>478</v>
      </c>
      <c r="K788" s="20" t="str">
        <f t="shared" ca="1" si="25"/>
        <v>Overdue</v>
      </c>
    </row>
    <row r="789" spans="1:11" x14ac:dyDescent="0.3">
      <c r="A789" s="18" t="s">
        <v>796</v>
      </c>
      <c r="B789" s="18" t="s">
        <v>811</v>
      </c>
      <c r="C789" s="19">
        <v>45115</v>
      </c>
      <c r="D789" s="19">
        <v>45145</v>
      </c>
      <c r="E789" s="17">
        <v>1670.28</v>
      </c>
      <c r="F789" s="20" t="s">
        <v>815</v>
      </c>
      <c r="G789" s="20" t="s">
        <v>821</v>
      </c>
      <c r="H789" s="22">
        <v>45145</v>
      </c>
      <c r="I789" s="20" t="s">
        <v>822</v>
      </c>
      <c r="J789" s="21">
        <f t="shared" ca="1" si="24"/>
        <v>1050</v>
      </c>
      <c r="K789" s="20" t="str">
        <f t="shared" ca="1" si="25"/>
        <v>OK</v>
      </c>
    </row>
    <row r="790" spans="1:11" x14ac:dyDescent="0.3">
      <c r="A790" s="18" t="s">
        <v>797</v>
      </c>
      <c r="B790" s="18" t="s">
        <v>809</v>
      </c>
      <c r="C790" s="19">
        <v>45551</v>
      </c>
      <c r="D790" s="19">
        <v>45581</v>
      </c>
      <c r="E790" s="17">
        <v>4064.87</v>
      </c>
      <c r="F790" s="20" t="s">
        <v>814</v>
      </c>
      <c r="G790" s="20" t="s">
        <v>820</v>
      </c>
      <c r="H790" s="20" t="s">
        <v>823</v>
      </c>
      <c r="I790" s="20" t="s">
        <v>822</v>
      </c>
      <c r="J790" s="21">
        <f t="shared" ca="1" si="24"/>
        <v>614</v>
      </c>
      <c r="K790" s="20" t="str">
        <f t="shared" ca="1" si="25"/>
        <v>Overdue</v>
      </c>
    </row>
    <row r="791" spans="1:11" x14ac:dyDescent="0.3">
      <c r="A791" s="18" t="s">
        <v>798</v>
      </c>
      <c r="B791" s="18" t="s">
        <v>810</v>
      </c>
      <c r="C791" s="19">
        <v>44975</v>
      </c>
      <c r="D791" s="19">
        <v>45005</v>
      </c>
      <c r="E791" s="17">
        <v>4071.09</v>
      </c>
      <c r="F791" s="20" t="s">
        <v>817</v>
      </c>
      <c r="G791" s="20" t="s">
        <v>820</v>
      </c>
      <c r="H791" s="20" t="s">
        <v>823</v>
      </c>
      <c r="I791" s="20" t="s">
        <v>822</v>
      </c>
      <c r="J791" s="21">
        <f t="shared" ca="1" si="24"/>
        <v>1190</v>
      </c>
      <c r="K791" s="20" t="str">
        <f t="shared" ca="1" si="25"/>
        <v>Overdue</v>
      </c>
    </row>
    <row r="792" spans="1:11" x14ac:dyDescent="0.3">
      <c r="A792" s="18" t="s">
        <v>799</v>
      </c>
      <c r="B792" s="18" t="s">
        <v>809</v>
      </c>
      <c r="C792" s="19">
        <v>45682</v>
      </c>
      <c r="D792" s="19">
        <v>45712</v>
      </c>
      <c r="E792" s="17">
        <v>311.52</v>
      </c>
      <c r="F792" s="20" t="s">
        <v>816</v>
      </c>
      <c r="G792" s="20" t="s">
        <v>819</v>
      </c>
      <c r="H792" s="20" t="s">
        <v>823</v>
      </c>
      <c r="I792" s="20" t="s">
        <v>822</v>
      </c>
      <c r="J792" s="21">
        <f t="shared" ca="1" si="24"/>
        <v>483</v>
      </c>
      <c r="K792" s="20" t="str">
        <f t="shared" ca="1" si="25"/>
        <v>Overdue</v>
      </c>
    </row>
    <row r="793" spans="1:11" x14ac:dyDescent="0.3">
      <c r="A793" s="18" t="s">
        <v>800</v>
      </c>
      <c r="B793" s="18" t="s">
        <v>810</v>
      </c>
      <c r="C793" s="19">
        <v>45467</v>
      </c>
      <c r="D793" s="19">
        <v>45497</v>
      </c>
      <c r="E793" s="17">
        <v>4351.8</v>
      </c>
      <c r="F793" s="20" t="s">
        <v>818</v>
      </c>
      <c r="G793" s="20" t="s">
        <v>821</v>
      </c>
      <c r="H793" s="22">
        <v>45497</v>
      </c>
      <c r="I793" s="20" t="s">
        <v>822</v>
      </c>
      <c r="J793" s="21">
        <f t="shared" ca="1" si="24"/>
        <v>698</v>
      </c>
      <c r="K793" s="20" t="str">
        <f t="shared" ca="1" si="25"/>
        <v>OK</v>
      </c>
    </row>
    <row r="794" spans="1:11" x14ac:dyDescent="0.3">
      <c r="A794" s="18" t="s">
        <v>801</v>
      </c>
      <c r="B794" s="18" t="s">
        <v>809</v>
      </c>
      <c r="C794" s="19">
        <v>45354</v>
      </c>
      <c r="D794" s="19">
        <v>45384</v>
      </c>
      <c r="E794" s="17">
        <v>3524.51</v>
      </c>
      <c r="F794" s="20" t="s">
        <v>816</v>
      </c>
      <c r="G794" s="20" t="s">
        <v>819</v>
      </c>
      <c r="H794" s="20" t="s">
        <v>823</v>
      </c>
      <c r="I794" s="20" t="s">
        <v>822</v>
      </c>
      <c r="J794" s="21">
        <f t="shared" ca="1" si="24"/>
        <v>811</v>
      </c>
      <c r="K794" s="20" t="str">
        <f t="shared" ca="1" si="25"/>
        <v>Overdue</v>
      </c>
    </row>
    <row r="795" spans="1:11" x14ac:dyDescent="0.3">
      <c r="A795" s="18" t="s">
        <v>802</v>
      </c>
      <c r="B795" s="18" t="s">
        <v>809</v>
      </c>
      <c r="C795" s="19">
        <v>44978</v>
      </c>
      <c r="D795" s="19">
        <v>45008</v>
      </c>
      <c r="E795" s="17">
        <v>2999.23</v>
      </c>
      <c r="F795" s="20" t="s">
        <v>818</v>
      </c>
      <c r="G795" s="20" t="s">
        <v>821</v>
      </c>
      <c r="H795" s="22">
        <v>45008</v>
      </c>
      <c r="I795" s="20" t="s">
        <v>822</v>
      </c>
      <c r="J795" s="21">
        <f t="shared" ca="1" si="24"/>
        <v>1187</v>
      </c>
      <c r="K795" s="20" t="str">
        <f t="shared" ca="1" si="25"/>
        <v>OK</v>
      </c>
    </row>
    <row r="796" spans="1:11" x14ac:dyDescent="0.3">
      <c r="A796" s="18" t="s">
        <v>803</v>
      </c>
      <c r="B796" s="18" t="s">
        <v>810</v>
      </c>
      <c r="C796" s="19">
        <v>45543</v>
      </c>
      <c r="D796" s="19">
        <v>45573</v>
      </c>
      <c r="E796" s="17">
        <v>754.06</v>
      </c>
      <c r="F796" s="20" t="s">
        <v>814</v>
      </c>
      <c r="G796" s="20" t="s">
        <v>820</v>
      </c>
      <c r="H796" s="20"/>
      <c r="I796" s="20" t="s">
        <v>822</v>
      </c>
      <c r="J796" s="21">
        <f t="shared" ca="1" si="24"/>
        <v>622</v>
      </c>
      <c r="K796" s="20" t="str">
        <f t="shared" ca="1" si="25"/>
        <v>Overdue</v>
      </c>
    </row>
    <row r="797" spans="1:11" x14ac:dyDescent="0.3">
      <c r="A797" s="18" t="s">
        <v>804</v>
      </c>
      <c r="B797" s="18" t="s">
        <v>810</v>
      </c>
      <c r="C797" s="19">
        <v>44961</v>
      </c>
      <c r="D797" s="19">
        <v>44991</v>
      </c>
      <c r="E797" s="17">
        <v>4250.7</v>
      </c>
      <c r="F797" s="20" t="s">
        <v>818</v>
      </c>
      <c r="G797" s="20" t="s">
        <v>821</v>
      </c>
      <c r="H797" s="22">
        <v>44991</v>
      </c>
      <c r="I797" s="20" t="s">
        <v>822</v>
      </c>
      <c r="J797" s="21">
        <f t="shared" ca="1" si="24"/>
        <v>1204</v>
      </c>
      <c r="K797" s="20" t="str">
        <f t="shared" ca="1" si="25"/>
        <v>OK</v>
      </c>
    </row>
    <row r="798" spans="1:11" x14ac:dyDescent="0.3">
      <c r="A798" s="18" t="s">
        <v>805</v>
      </c>
      <c r="B798" s="18" t="s">
        <v>809</v>
      </c>
      <c r="C798" s="19">
        <v>45384</v>
      </c>
      <c r="D798" s="19">
        <v>45414</v>
      </c>
      <c r="E798" s="17">
        <v>613.6</v>
      </c>
      <c r="F798" s="20" t="s">
        <v>816</v>
      </c>
      <c r="G798" s="20" t="s">
        <v>819</v>
      </c>
      <c r="H798" s="20" t="s">
        <v>823</v>
      </c>
      <c r="I798" s="20" t="s">
        <v>822</v>
      </c>
      <c r="J798" s="21">
        <f t="shared" ca="1" si="24"/>
        <v>781</v>
      </c>
      <c r="K798" s="20" t="str">
        <f t="shared" ca="1" si="25"/>
        <v>Overdue</v>
      </c>
    </row>
    <row r="799" spans="1:11" x14ac:dyDescent="0.3">
      <c r="A799" s="18" t="s">
        <v>806</v>
      </c>
      <c r="B799" s="18" t="s">
        <v>812</v>
      </c>
      <c r="C799" s="19">
        <v>45732</v>
      </c>
      <c r="D799" s="19">
        <v>45762</v>
      </c>
      <c r="E799" s="17">
        <v>1012.88</v>
      </c>
      <c r="F799" s="20" t="s">
        <v>814</v>
      </c>
      <c r="G799" s="20" t="s">
        <v>820</v>
      </c>
      <c r="H799" s="20" t="s">
        <v>823</v>
      </c>
      <c r="I799" s="20" t="s">
        <v>823</v>
      </c>
      <c r="J799" s="21">
        <f t="shared" ca="1" si="24"/>
        <v>433</v>
      </c>
      <c r="K799" s="20" t="str">
        <f t="shared" ca="1" si="25"/>
        <v>Overdue</v>
      </c>
    </row>
    <row r="800" spans="1:11" x14ac:dyDescent="0.3">
      <c r="A800" s="18" t="s">
        <v>807</v>
      </c>
      <c r="B800" s="18" t="s">
        <v>811</v>
      </c>
      <c r="C800" s="19">
        <v>45827</v>
      </c>
      <c r="D800" s="19">
        <v>45857</v>
      </c>
      <c r="E800" s="17">
        <v>290.27</v>
      </c>
      <c r="F800" s="20" t="s">
        <v>816</v>
      </c>
      <c r="G800" s="20" t="s">
        <v>820</v>
      </c>
      <c r="H800" s="20" t="s">
        <v>823</v>
      </c>
      <c r="I800" s="20" t="s">
        <v>822</v>
      </c>
      <c r="J800" s="21">
        <f t="shared" ca="1" si="24"/>
        <v>338</v>
      </c>
      <c r="K800" s="20" t="str">
        <f t="shared" ca="1" si="25"/>
        <v>Overdue</v>
      </c>
    </row>
    <row r="801" spans="1:11" x14ac:dyDescent="0.3">
      <c r="A801" s="18" t="s">
        <v>808</v>
      </c>
      <c r="B801" s="18" t="s">
        <v>812</v>
      </c>
      <c r="C801" s="19">
        <v>45648</v>
      </c>
      <c r="D801" s="19">
        <v>45678</v>
      </c>
      <c r="E801" s="17">
        <v>4608.55</v>
      </c>
      <c r="F801" s="20" t="s">
        <v>818</v>
      </c>
      <c r="G801" s="20" t="s">
        <v>820</v>
      </c>
      <c r="H801" s="20" t="s">
        <v>823</v>
      </c>
      <c r="I801" s="20" t="s">
        <v>822</v>
      </c>
      <c r="J801" s="21">
        <f t="shared" ca="1" si="24"/>
        <v>517</v>
      </c>
      <c r="K801" s="20" t="str">
        <f t="shared" ca="1" si="25"/>
        <v>Overdue</v>
      </c>
    </row>
    <row r="802" spans="1:11" x14ac:dyDescent="0.3">
      <c r="E802"/>
    </row>
    <row r="803" spans="1:11" x14ac:dyDescent="0.3">
      <c r="E803"/>
    </row>
  </sheetData>
  <conditionalFormatting sqref="G2:G801">
    <cfRule type="containsText" dxfId="1" priority="1" operator="containsText" text="PAID">
      <formula>NOT(ISERROR(SEARCH("PAID",G2)))</formula>
    </cfRule>
    <cfRule type="containsText" dxfId="0" priority="2" operator="containsText" text="PAID">
      <formula>NOT(ISERROR(SEARCH("PAID",G2)))</formula>
    </cfRule>
  </conditionalFormatting>
  <conditionalFormatting sqref="I1:I798 J1:K1">
    <cfRule type="duplicateValues" priority="3"/>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gap" xr2:uid="{FD948167-AC34-414C-AB66-BDA62CF4C37A}">
          <x14:colorSeries rgb="FF323232"/>
          <x14:colorNegative rgb="FFD00000"/>
          <x14:colorAxis rgb="FF000000"/>
          <x14:colorMarkers rgb="FFD00000"/>
          <x14:colorFirst rgb="FFD00000"/>
          <x14:colorLast rgb="FFD00000"/>
          <x14:colorHigh rgb="FFD00000"/>
          <x14:colorLow rgb="FFD00000"/>
          <x14:sparklines>
            <x14:sparkline>
              <xm:f>dataset!K790:K801</xm:f>
              <xm:sqref>K806</xm:sqref>
            </x14:sparkline>
          </x14:sparklines>
        </x14:sparklineGroup>
        <x14:sparklineGroup type="column" displayEmptyCellsAs="gap" xr2:uid="{1F46C940-AF14-41EE-A8F9-E995172EAA68}">
          <x14:colorSeries rgb="FF000000"/>
          <x14:colorNegative rgb="FF0070C0"/>
          <x14:colorAxis rgb="FF000000"/>
          <x14:colorMarkers rgb="FF0070C0"/>
          <x14:colorFirst rgb="FF0070C0"/>
          <x14:colorLast rgb="FF0070C0"/>
          <x14:colorHigh rgb="FF0070C0"/>
          <x14:colorLow rgb="FF0070C0"/>
          <x14:sparklines>
            <x14:sparkline>
              <xm:f>dataset!K1:K22</xm:f>
              <xm:sqref>N5</xm:sqref>
            </x14:sparkline>
          </x14:sparklines>
        </x14:sparklineGroup>
        <x14:sparklineGroup type="column" displayEmptyCellsAs="gap" xr2:uid="{DAC33573-A14D-4D41-9E52-3837074A0032}">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dataset!A1:A801</xm:f>
              <xm:sqref>M6</xm:sqref>
            </x14:sparkline>
          </x14:sparklines>
        </x14:sparklineGroup>
        <x14:sparklineGroup type="column" displayEmptyCellsAs="gap" xr2:uid="{0AB954BD-30DD-4FDF-A2A6-4F24801CC748}">
          <x14:colorSeries rgb="FF0070C0"/>
          <x14:colorNegative rgb="FF000000"/>
          <x14:colorAxis rgb="FF000000"/>
          <x14:colorMarkers rgb="FF000000"/>
          <x14:colorFirst rgb="FF000000"/>
          <x14:colorLast rgb="FF000000"/>
          <x14:colorHigh rgb="FF000000"/>
          <x14:colorLow rgb="FF000000"/>
          <x14:sparklines>
            <x14:sparkline>
              <xm:f>dataset!K1:K801</xm:f>
              <xm:sqref>M4</xm:sqref>
            </x14:sparkline>
            <x14:sparkline>
              <xm:f>dataset!L1:L801</xm:f>
              <xm:sqref>N4</xm:sqref>
            </x14:sparkline>
            <x14:sparkline>
              <xm:f>dataset!M1:M801</xm:f>
              <xm:sqref>O4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298F-345F-4385-A146-AD47C1DC6443}">
  <dimension ref="A1:W2"/>
  <sheetViews>
    <sheetView showGridLines="0" tabSelected="1" zoomScale="88" workbookViewId="0">
      <selection sqref="A1:W30"/>
    </sheetView>
  </sheetViews>
  <sheetFormatPr defaultRowHeight="14.4" x14ac:dyDescent="0.3"/>
  <cols>
    <col min="3" max="3" width="8.88671875" customWidth="1"/>
  </cols>
  <sheetData>
    <row r="1" spans="1:23" x14ac:dyDescent="0.3">
      <c r="A1" s="23" t="s">
        <v>836</v>
      </c>
      <c r="B1" s="24"/>
      <c r="C1" s="24"/>
      <c r="D1" s="24"/>
      <c r="E1" s="24"/>
      <c r="F1" s="24"/>
      <c r="G1" s="24"/>
      <c r="H1" s="24"/>
      <c r="I1" s="24"/>
      <c r="J1" s="24"/>
      <c r="K1" s="24"/>
      <c r="L1" s="24"/>
      <c r="M1" s="24"/>
      <c r="N1" s="24"/>
      <c r="O1" s="24"/>
      <c r="P1" s="24"/>
      <c r="Q1" s="24"/>
      <c r="R1" s="24"/>
      <c r="S1" s="24"/>
      <c r="T1" s="24"/>
      <c r="U1" s="24"/>
      <c r="V1" s="24"/>
      <c r="W1" s="24"/>
    </row>
    <row r="2" spans="1:23" x14ac:dyDescent="0.3">
      <c r="A2" s="24"/>
      <c r="B2" s="24"/>
      <c r="C2" s="24"/>
      <c r="D2" s="24"/>
      <c r="E2" s="24"/>
      <c r="F2" s="24"/>
      <c r="G2" s="24"/>
      <c r="H2" s="24"/>
      <c r="I2" s="24"/>
      <c r="J2" s="24"/>
      <c r="K2" s="24"/>
      <c r="L2" s="24"/>
      <c r="M2" s="24"/>
      <c r="N2" s="24"/>
      <c r="O2" s="24"/>
      <c r="P2" s="24"/>
      <c r="Q2" s="24"/>
      <c r="R2" s="24"/>
      <c r="S2" s="24"/>
      <c r="T2" s="24"/>
      <c r="U2" s="24"/>
      <c r="V2" s="24"/>
      <c r="W2" s="24"/>
    </row>
  </sheetData>
  <mergeCells count="1">
    <mergeCell ref="A1:W2"/>
  </mergeCells>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type="column" displayEmptyCellsAs="gap" xr2:uid="{E94A558C-2353-4958-B528-E34B21AF3E49}">
          <x14:colorSeries rgb="FF376092"/>
          <x14:colorNegative rgb="FFD00000"/>
          <x14:colorAxis rgb="FF000000"/>
          <x14:colorMarkers rgb="FFD00000"/>
          <x14:colorFirst rgb="FFD00000"/>
          <x14:colorLast rgb="FFD00000"/>
          <x14:colorHigh rgb="FFD00000"/>
          <x14:colorLow rgb="FFD00000"/>
          <x14:sparklines>
            <x14:sparkline>
              <xm:sqref>E23</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371D-FCCB-495E-BF11-A08FD0C855BF}">
  <dimension ref="A1:T23"/>
  <sheetViews>
    <sheetView workbookViewId="0">
      <selection activeCell="K17" sqref="K17"/>
    </sheetView>
  </sheetViews>
  <sheetFormatPr defaultRowHeight="14.4" x14ac:dyDescent="0.3"/>
  <cols>
    <col min="1" max="1" width="14.44140625" bestFit="1" customWidth="1"/>
    <col min="2" max="2" width="15.5546875" bestFit="1" customWidth="1"/>
    <col min="3" max="4" width="7" bestFit="1" customWidth="1"/>
    <col min="5" max="5" width="10.77734375" bestFit="1" customWidth="1"/>
    <col min="6" max="6" width="10" bestFit="1" customWidth="1"/>
    <col min="7" max="7" width="12.5546875" bestFit="1" customWidth="1"/>
    <col min="8" max="8" width="14.44140625" bestFit="1" customWidth="1"/>
    <col min="9" max="9" width="11" customWidth="1"/>
    <col min="10" max="10" width="7" bestFit="1" customWidth="1"/>
    <col min="11" max="11" width="12.5546875" bestFit="1" customWidth="1"/>
    <col min="12" max="12" width="14.44140625" bestFit="1" customWidth="1"/>
    <col min="13" max="13" width="10.77734375" bestFit="1" customWidth="1"/>
    <col min="15" max="15" width="12.5546875" bestFit="1" customWidth="1"/>
    <col min="16" max="16" width="14.44140625" bestFit="1" customWidth="1"/>
    <col min="17" max="17" width="10.33203125" bestFit="1" customWidth="1"/>
    <col min="18" max="18" width="12.5546875" bestFit="1" customWidth="1"/>
    <col min="19" max="19" width="14.44140625" bestFit="1" customWidth="1"/>
    <col min="20" max="569" width="15.5546875" bestFit="1" customWidth="1"/>
    <col min="570" max="570" width="10.77734375" bestFit="1" customWidth="1"/>
  </cols>
  <sheetData>
    <row r="1" spans="1:20" x14ac:dyDescent="0.3">
      <c r="A1" s="11" t="s">
        <v>824</v>
      </c>
      <c r="B1" t="s">
        <v>829</v>
      </c>
      <c r="D1" s="11" t="s">
        <v>824</v>
      </c>
      <c r="E1" t="s">
        <v>830</v>
      </c>
      <c r="G1" s="11" t="s">
        <v>826</v>
      </c>
      <c r="H1" s="11" t="s">
        <v>828</v>
      </c>
    </row>
    <row r="2" spans="1:20" x14ac:dyDescent="0.3">
      <c r="A2" s="12" t="s">
        <v>819</v>
      </c>
      <c r="B2">
        <v>267</v>
      </c>
      <c r="D2" s="12" t="s">
        <v>822</v>
      </c>
      <c r="E2">
        <v>799</v>
      </c>
      <c r="G2" s="11" t="s">
        <v>824</v>
      </c>
      <c r="H2" t="s">
        <v>818</v>
      </c>
      <c r="I2" t="s">
        <v>815</v>
      </c>
      <c r="J2" t="s">
        <v>814</v>
      </c>
      <c r="K2" t="s">
        <v>816</v>
      </c>
      <c r="L2" t="s">
        <v>817</v>
      </c>
      <c r="M2" t="s">
        <v>825</v>
      </c>
    </row>
    <row r="3" spans="1:20" x14ac:dyDescent="0.3">
      <c r="A3" s="12" t="s">
        <v>821</v>
      </c>
      <c r="B3">
        <v>257</v>
      </c>
      <c r="D3" s="12" t="s">
        <v>823</v>
      </c>
      <c r="E3">
        <v>1</v>
      </c>
      <c r="G3" s="12" t="s">
        <v>811</v>
      </c>
      <c r="H3" s="14">
        <v>105418.44000000002</v>
      </c>
      <c r="I3" s="14">
        <v>67949.31</v>
      </c>
      <c r="J3" s="14">
        <v>68029.909999999989</v>
      </c>
      <c r="K3" s="14">
        <v>92946.739999999991</v>
      </c>
      <c r="L3" s="14">
        <v>86541.09</v>
      </c>
      <c r="M3" s="15">
        <v>420885.49</v>
      </c>
      <c r="R3" s="2"/>
      <c r="S3" s="3"/>
      <c r="T3" s="4"/>
    </row>
    <row r="4" spans="1:20" x14ac:dyDescent="0.3">
      <c r="A4" s="12" t="s">
        <v>820</v>
      </c>
      <c r="B4">
        <v>276</v>
      </c>
      <c r="D4" s="12" t="s">
        <v>825</v>
      </c>
      <c r="E4">
        <v>800</v>
      </c>
      <c r="G4" s="12" t="s">
        <v>809</v>
      </c>
      <c r="H4" s="14">
        <v>87010.069999999978</v>
      </c>
      <c r="I4" s="14">
        <v>103814.55</v>
      </c>
      <c r="J4" s="14">
        <v>80214.180000000022</v>
      </c>
      <c r="K4" s="14">
        <v>105161.91000000003</v>
      </c>
      <c r="L4" s="14">
        <v>108727.10999999996</v>
      </c>
      <c r="M4" s="15">
        <v>484927.82000000007</v>
      </c>
      <c r="R4" s="5"/>
      <c r="S4" s="6"/>
      <c r="T4" s="7"/>
    </row>
    <row r="5" spans="1:20" x14ac:dyDescent="0.3">
      <c r="A5" s="12" t="s">
        <v>825</v>
      </c>
      <c r="B5">
        <v>800</v>
      </c>
      <c r="G5" s="12" t="s">
        <v>810</v>
      </c>
      <c r="H5" s="14">
        <v>95603.31</v>
      </c>
      <c r="I5" s="14">
        <v>76968.800000000003</v>
      </c>
      <c r="J5" s="14">
        <v>73238.91</v>
      </c>
      <c r="K5" s="14">
        <v>78212.450000000012</v>
      </c>
      <c r="L5" s="14">
        <v>63887.049999999988</v>
      </c>
      <c r="M5" s="15">
        <v>387910.51999999996</v>
      </c>
      <c r="R5" s="5"/>
      <c r="S5" s="6"/>
      <c r="T5" s="7"/>
    </row>
    <row r="6" spans="1:20" x14ac:dyDescent="0.3">
      <c r="G6" s="12" t="s">
        <v>812</v>
      </c>
      <c r="H6" s="14">
        <v>88514.35000000002</v>
      </c>
      <c r="I6" s="14">
        <v>59688.710000000014</v>
      </c>
      <c r="J6" s="14">
        <v>76194.379999999976</v>
      </c>
      <c r="K6" s="14">
        <v>89279.15</v>
      </c>
      <c r="L6" s="14">
        <v>87422.059999999983</v>
      </c>
      <c r="M6" s="15">
        <v>401098.64999999997</v>
      </c>
      <c r="R6" s="5"/>
      <c r="S6" s="6"/>
      <c r="T6" s="7"/>
    </row>
    <row r="7" spans="1:20" x14ac:dyDescent="0.3">
      <c r="A7" s="11" t="s">
        <v>827</v>
      </c>
      <c r="B7" s="11" t="s">
        <v>828</v>
      </c>
      <c r="G7" s="12" t="s">
        <v>813</v>
      </c>
      <c r="H7" s="14">
        <v>96259.00999999998</v>
      </c>
      <c r="I7" s="14">
        <v>80621.810000000027</v>
      </c>
      <c r="J7" s="14">
        <v>46817.26999999999</v>
      </c>
      <c r="K7" s="14">
        <v>85667.17</v>
      </c>
      <c r="L7" s="14">
        <v>83334.549999999988</v>
      </c>
      <c r="M7" s="15">
        <v>392699.81</v>
      </c>
      <c r="R7" s="5"/>
      <c r="S7" s="6"/>
      <c r="T7" s="7"/>
    </row>
    <row r="8" spans="1:20" x14ac:dyDescent="0.3">
      <c r="A8" s="11" t="s">
        <v>824</v>
      </c>
      <c r="B8" t="s">
        <v>819</v>
      </c>
      <c r="C8" t="s">
        <v>821</v>
      </c>
      <c r="D8" t="s">
        <v>820</v>
      </c>
      <c r="E8" t="s">
        <v>825</v>
      </c>
      <c r="G8" s="12" t="s">
        <v>825</v>
      </c>
      <c r="H8" s="14">
        <v>472805.18000000005</v>
      </c>
      <c r="I8" s="14">
        <v>389043.18000000005</v>
      </c>
      <c r="J8" s="14">
        <v>344494.65</v>
      </c>
      <c r="K8" s="14">
        <v>451267.42</v>
      </c>
      <c r="L8" s="14">
        <v>429911.85999999993</v>
      </c>
      <c r="M8" s="14">
        <v>2087522.29</v>
      </c>
      <c r="R8" s="5"/>
      <c r="S8" s="6"/>
      <c r="T8" s="7"/>
    </row>
    <row r="9" spans="1:20" x14ac:dyDescent="0.3">
      <c r="A9" s="12" t="s">
        <v>811</v>
      </c>
      <c r="B9">
        <v>57</v>
      </c>
      <c r="C9">
        <v>47</v>
      </c>
      <c r="D9">
        <v>53</v>
      </c>
      <c r="E9">
        <v>157</v>
      </c>
      <c r="R9" s="5"/>
      <c r="S9" s="6"/>
      <c r="T9" s="7"/>
    </row>
    <row r="10" spans="1:20" x14ac:dyDescent="0.3">
      <c r="A10" s="12" t="s">
        <v>809</v>
      </c>
      <c r="B10">
        <v>56</v>
      </c>
      <c r="C10">
        <v>57</v>
      </c>
      <c r="D10">
        <v>69</v>
      </c>
      <c r="E10">
        <v>182</v>
      </c>
      <c r="G10" s="11" t="s">
        <v>824</v>
      </c>
      <c r="H10" t="s">
        <v>826</v>
      </c>
      <c r="J10" s="11" t="s">
        <v>824</v>
      </c>
      <c r="K10" t="s">
        <v>826</v>
      </c>
      <c r="R10" s="5"/>
      <c r="S10" s="6"/>
      <c r="T10" s="7"/>
    </row>
    <row r="11" spans="1:20" x14ac:dyDescent="0.3">
      <c r="A11" s="12" t="s">
        <v>810</v>
      </c>
      <c r="B11">
        <v>44</v>
      </c>
      <c r="C11">
        <v>50</v>
      </c>
      <c r="D11">
        <v>45</v>
      </c>
      <c r="E11">
        <v>139</v>
      </c>
      <c r="G11" s="12" t="s">
        <v>810</v>
      </c>
      <c r="H11" s="15">
        <v>387910.5199999999</v>
      </c>
      <c r="J11" s="12" t="s">
        <v>819</v>
      </c>
      <c r="K11" s="16">
        <v>668446.26999999979</v>
      </c>
      <c r="R11" s="5"/>
      <c r="S11" s="6"/>
      <c r="T11" s="7"/>
    </row>
    <row r="12" spans="1:20" x14ac:dyDescent="0.3">
      <c r="A12" s="12" t="s">
        <v>812</v>
      </c>
      <c r="B12">
        <v>60</v>
      </c>
      <c r="C12">
        <v>54</v>
      </c>
      <c r="D12">
        <v>51</v>
      </c>
      <c r="E12">
        <v>165</v>
      </c>
      <c r="G12" s="12" t="s">
        <v>813</v>
      </c>
      <c r="H12" s="15">
        <v>392699.81000000017</v>
      </c>
      <c r="J12" s="12" t="s">
        <v>821</v>
      </c>
      <c r="K12" s="16">
        <v>668596.74000000057</v>
      </c>
      <c r="R12" s="5"/>
      <c r="S12" s="6"/>
      <c r="T12" s="7"/>
    </row>
    <row r="13" spans="1:20" x14ac:dyDescent="0.3">
      <c r="A13" s="12" t="s">
        <v>813</v>
      </c>
      <c r="B13">
        <v>50</v>
      </c>
      <c r="C13">
        <v>49</v>
      </c>
      <c r="D13">
        <v>58</v>
      </c>
      <c r="E13">
        <v>157</v>
      </c>
      <c r="G13" s="12" t="s">
        <v>812</v>
      </c>
      <c r="H13" s="15">
        <v>401098.65000000014</v>
      </c>
      <c r="J13" s="12" t="s">
        <v>820</v>
      </c>
      <c r="K13" s="16">
        <v>750479.28000000038</v>
      </c>
      <c r="R13" s="5"/>
      <c r="S13" s="6"/>
      <c r="T13" s="7"/>
    </row>
    <row r="14" spans="1:20" x14ac:dyDescent="0.3">
      <c r="A14" s="12" t="s">
        <v>825</v>
      </c>
      <c r="B14">
        <v>267</v>
      </c>
      <c r="C14">
        <v>257</v>
      </c>
      <c r="D14">
        <v>276</v>
      </c>
      <c r="E14">
        <v>800</v>
      </c>
      <c r="G14" s="12" t="s">
        <v>811</v>
      </c>
      <c r="H14" s="15">
        <v>420885.48999999993</v>
      </c>
      <c r="J14" s="12" t="s">
        <v>825</v>
      </c>
      <c r="K14" s="16">
        <v>2087522.2900000005</v>
      </c>
      <c r="R14" s="5"/>
      <c r="S14" s="6"/>
      <c r="T14" s="7"/>
    </row>
    <row r="15" spans="1:20" x14ac:dyDescent="0.3">
      <c r="G15" s="12" t="s">
        <v>809</v>
      </c>
      <c r="H15" s="15">
        <v>484927.82000000012</v>
      </c>
      <c r="R15" s="5"/>
      <c r="S15" s="6"/>
      <c r="T15" s="7"/>
    </row>
    <row r="16" spans="1:20" x14ac:dyDescent="0.3">
      <c r="A16" s="11" t="s">
        <v>826</v>
      </c>
      <c r="B16" s="11" t="s">
        <v>828</v>
      </c>
      <c r="G16" s="12" t="s">
        <v>825</v>
      </c>
      <c r="H16">
        <v>2087522.2900000005</v>
      </c>
      <c r="R16" s="5"/>
      <c r="S16" s="6"/>
      <c r="T16" s="7"/>
    </row>
    <row r="17" spans="1:20" x14ac:dyDescent="0.3">
      <c r="A17" s="11" t="s">
        <v>824</v>
      </c>
      <c r="B17" t="s">
        <v>819</v>
      </c>
      <c r="C17" t="s">
        <v>821</v>
      </c>
      <c r="D17" t="s">
        <v>820</v>
      </c>
      <c r="E17" t="s">
        <v>825</v>
      </c>
      <c r="R17" s="5"/>
      <c r="S17" s="6"/>
      <c r="T17" s="7"/>
    </row>
    <row r="18" spans="1:20" x14ac:dyDescent="0.3">
      <c r="A18" s="12" t="s">
        <v>811</v>
      </c>
      <c r="B18" s="14">
        <v>145145.62</v>
      </c>
      <c r="C18" s="14">
        <v>127425.68000000001</v>
      </c>
      <c r="D18" s="14">
        <v>148314.19</v>
      </c>
      <c r="E18" s="14">
        <v>420885.49</v>
      </c>
      <c r="G18" s="11" t="s">
        <v>824</v>
      </c>
      <c r="H18" t="s">
        <v>830</v>
      </c>
      <c r="I18" t="s">
        <v>826</v>
      </c>
      <c r="R18" s="5"/>
      <c r="S18" s="6"/>
      <c r="T18" s="7"/>
    </row>
    <row r="19" spans="1:20" x14ac:dyDescent="0.3">
      <c r="A19" s="12" t="s">
        <v>809</v>
      </c>
      <c r="B19" s="14">
        <v>143015.59</v>
      </c>
      <c r="C19" s="14">
        <v>146765.13999999998</v>
      </c>
      <c r="D19" s="14">
        <v>195147.08999999988</v>
      </c>
      <c r="E19" s="14">
        <v>484927.81999999983</v>
      </c>
      <c r="G19" s="12" t="s">
        <v>833</v>
      </c>
      <c r="H19">
        <v>257</v>
      </c>
      <c r="I19" s="14">
        <v>668596.74000000057</v>
      </c>
      <c r="R19" s="5"/>
      <c r="S19" s="6"/>
      <c r="T19" s="7"/>
    </row>
    <row r="20" spans="1:20" x14ac:dyDescent="0.3">
      <c r="A20" s="12" t="s">
        <v>810</v>
      </c>
      <c r="B20" s="14">
        <v>124905.37000000002</v>
      </c>
      <c r="C20" s="14">
        <v>136417.61000000004</v>
      </c>
      <c r="D20" s="14">
        <v>126587.53999999998</v>
      </c>
      <c r="E20" s="14">
        <v>387910.52</v>
      </c>
      <c r="G20" s="12" t="s">
        <v>834</v>
      </c>
      <c r="H20">
        <v>543</v>
      </c>
      <c r="I20" s="14">
        <v>1418925.5500000014</v>
      </c>
      <c r="R20" s="8"/>
      <c r="S20" s="9"/>
      <c r="T20" s="10"/>
    </row>
    <row r="21" spans="1:20" x14ac:dyDescent="0.3">
      <c r="A21" s="12" t="s">
        <v>812</v>
      </c>
      <c r="B21" s="14">
        <v>130999.55999999997</v>
      </c>
      <c r="C21" s="14">
        <v>135752.13999999996</v>
      </c>
      <c r="D21" s="14">
        <v>134346.94999999998</v>
      </c>
      <c r="E21" s="14">
        <v>401098.64999999991</v>
      </c>
      <c r="G21" s="12" t="s">
        <v>835</v>
      </c>
      <c r="I21" s="14">
        <v>2087522.2899999993</v>
      </c>
    </row>
    <row r="22" spans="1:20" x14ac:dyDescent="0.3">
      <c r="A22" s="12" t="s">
        <v>813</v>
      </c>
      <c r="B22" s="14">
        <v>124380.13</v>
      </c>
      <c r="C22" s="14">
        <v>122236.17</v>
      </c>
      <c r="D22" s="14">
        <v>146083.51</v>
      </c>
      <c r="E22" s="14">
        <v>392699.81</v>
      </c>
      <c r="G22" s="12" t="s">
        <v>825</v>
      </c>
      <c r="H22">
        <v>800</v>
      </c>
      <c r="I22" s="14">
        <v>4175044.5799999991</v>
      </c>
    </row>
    <row r="23" spans="1:20" x14ac:dyDescent="0.3">
      <c r="A23" s="12" t="s">
        <v>825</v>
      </c>
      <c r="B23" s="14">
        <v>668446.2699999999</v>
      </c>
      <c r="C23" s="14">
        <v>668596.74000000011</v>
      </c>
      <c r="D23" s="14">
        <v>750479.27999999991</v>
      </c>
      <c r="E23" s="14">
        <v>2087522.2899999998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swapna rani</cp:lastModifiedBy>
  <dcterms:created xsi:type="dcterms:W3CDTF">2025-06-28T04:56:09Z</dcterms:created>
  <dcterms:modified xsi:type="dcterms:W3CDTF">2026-06-22T07:56:49Z</dcterms:modified>
</cp:coreProperties>
</file>